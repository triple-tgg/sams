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2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msaero.sharepoint.com/sites/SAMS_COMPANY/Shared Documents/17. Training/00. SAMS/05. Training Record Monitoring/"/>
    </mc:Choice>
  </mc:AlternateContent>
  <xr:revisionPtr revIDLastSave="0" documentId="8_{8F9CFF31-FE20-4925-974C-33DE1E38E8A1}" xr6:coauthVersionLast="47" xr6:coauthVersionMax="47" xr10:uidLastSave="{00000000-0000-0000-0000-000000000000}"/>
  <bookViews>
    <workbookView xWindow="19090" yWindow="-110" windowWidth="19420" windowHeight="10300" firstSheet="5" activeTab="5" xr2:uid="{6C062A2E-131E-40B6-B917-B6038BF545E4}"/>
  </bookViews>
  <sheets>
    <sheet name="Sheet1" sheetId="7" state="hidden" r:id="rId1"/>
    <sheet name="Sheet1 (2)" sheetId="14" r:id="rId2"/>
    <sheet name="Test" sheetId="13" r:id="rId3"/>
    <sheet name="Current_Pear" sheetId="4" r:id="rId4"/>
    <sheet name="Resigned" sheetId="2" r:id="rId5"/>
    <sheet name="Current" sheetId="5" r:id="rId6"/>
    <sheet name="External Auditor" sheetId="8" r:id="rId7"/>
    <sheet name="External Maintenance" sheetId="11" r:id="rId8"/>
  </sheets>
  <definedNames>
    <definedName name="_xlnm._FilterDatabase" localSheetId="5" hidden="1">Current_Pear!$A$3:$AU$3</definedName>
    <definedName name="_xlnm._FilterDatabase" localSheetId="3" hidden="1">Current_Pear!$A$3:$AU$3</definedName>
    <definedName name="_xlnm._FilterDatabase" localSheetId="6" hidden="1">Current_Pear!$A$3:$AU$3</definedName>
    <definedName name="_xlnm._FilterDatabase" localSheetId="7" hidden="1">Current_Pear!$A$3:$AU$3</definedName>
    <definedName name="_xlnm._FilterDatabase" localSheetId="4" hidden="1">Resigned!$A$3:$AH$4</definedName>
    <definedName name="_xlnm._FilterDatabase" localSheetId="2" hidden="1">Current_Pear!$A$3:$AU$3</definedName>
    <definedName name="_xlnm.Print_Area" localSheetId="5">Current!$B$1:$CU$65</definedName>
    <definedName name="_xlnm.Print_Area" localSheetId="2">Test!$B$1:$CU$67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5" l="1"/>
  <c r="U104" i="5" l="1"/>
  <c r="U105" i="5"/>
  <c r="U106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63" i="5"/>
  <c r="U60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82" i="5"/>
  <c r="W83" i="5"/>
  <c r="W84" i="5"/>
  <c r="W85" i="5"/>
  <c r="W86" i="5"/>
  <c r="W87" i="5"/>
  <c r="W60" i="5"/>
  <c r="Q105" i="5"/>
  <c r="Q106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82" i="5"/>
  <c r="Q83" i="5"/>
  <c r="Q84" i="5"/>
  <c r="Q85" i="5"/>
  <c r="Q86" i="5"/>
  <c r="Q60" i="5"/>
  <c r="AI103" i="5"/>
  <c r="AI104" i="5"/>
  <c r="AI105" i="5"/>
  <c r="AI88" i="5"/>
  <c r="AI60" i="5"/>
  <c r="AM59" i="5"/>
  <c r="AO59" i="5"/>
  <c r="M73" i="5"/>
  <c r="O88" i="5"/>
  <c r="K73" i="5"/>
  <c r="O60" i="5"/>
  <c r="BK104" i="5" l="1"/>
  <c r="BK102" i="5"/>
  <c r="BK65" i="5"/>
  <c r="BK70" i="5"/>
  <c r="AM81" i="5"/>
  <c r="AM79" i="5"/>
  <c r="AM80" i="5"/>
  <c r="AM76" i="5"/>
  <c r="AM72" i="5"/>
  <c r="AM73" i="5"/>
  <c r="AM74" i="5"/>
  <c r="AM75" i="5"/>
  <c r="AM71" i="5"/>
  <c r="AM70" i="5"/>
  <c r="AM69" i="5"/>
  <c r="AM68" i="5"/>
  <c r="AM66" i="5"/>
  <c r="AM65" i="5"/>
  <c r="AM64" i="5"/>
  <c r="AM62" i="5"/>
  <c r="AM61" i="5"/>
  <c r="AM57" i="5"/>
  <c r="AM54" i="5"/>
  <c r="AM50" i="5"/>
  <c r="AM48" i="5"/>
  <c r="AM45" i="5"/>
  <c r="AM35" i="5"/>
  <c r="AM31" i="5"/>
  <c r="AM29" i="5"/>
  <c r="AM28" i="5"/>
  <c r="AM23" i="5"/>
  <c r="AM13" i="5"/>
  <c r="AM12" i="5"/>
  <c r="AM11" i="5"/>
  <c r="AM10" i="5"/>
  <c r="H13" i="14" l="1"/>
  <c r="AM85" i="5"/>
  <c r="AM84" i="5"/>
  <c r="AM83" i="5"/>
  <c r="AM82" i="5"/>
  <c r="AM63" i="5"/>
  <c r="BM44" i="2"/>
  <c r="BE44" i="2"/>
  <c r="BC44" i="2"/>
  <c r="BA44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Q44" i="2"/>
  <c r="M44" i="2"/>
  <c r="K44" i="2"/>
  <c r="I44" i="2"/>
  <c r="AM58" i="5"/>
  <c r="AM56" i="5"/>
  <c r="BM43" i="2"/>
  <c r="BE43" i="2"/>
  <c r="BC43" i="2"/>
  <c r="BA43" i="2"/>
  <c r="AY43" i="2"/>
  <c r="AW43" i="2"/>
  <c r="AS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AM51" i="5"/>
  <c r="AM49" i="5"/>
  <c r="AM39" i="5"/>
  <c r="AM27" i="5"/>
  <c r="AM19" i="5"/>
  <c r="AM24" i="5"/>
  <c r="O106" i="5"/>
  <c r="O91" i="5"/>
  <c r="O90" i="5"/>
  <c r="O83" i="5"/>
  <c r="I83" i="5"/>
  <c r="M83" i="5"/>
  <c r="AG83" i="5"/>
  <c r="AI83" i="5"/>
  <c r="AO83" i="5"/>
  <c r="O89" i="5"/>
  <c r="O105" i="5"/>
  <c r="O95" i="5"/>
  <c r="O94" i="5"/>
  <c r="O93" i="5"/>
  <c r="O97" i="5"/>
  <c r="O96" i="5"/>
  <c r="O100" i="5"/>
  <c r="O92" i="5"/>
  <c r="O85" i="5"/>
  <c r="O98" i="5"/>
  <c r="O99" i="5"/>
  <c r="O86" i="5"/>
  <c r="O84" i="5"/>
  <c r="O82" i="5"/>
  <c r="AK27" i="5"/>
  <c r="AK28" i="5"/>
  <c r="AK19" i="5"/>
  <c r="AK20" i="5"/>
  <c r="AK21" i="5"/>
  <c r="AI19" i="5"/>
  <c r="S19" i="5"/>
  <c r="S17" i="5"/>
  <c r="S11" i="5"/>
  <c r="S12" i="5"/>
  <c r="S13" i="5"/>
  <c r="S14" i="5"/>
  <c r="S15" i="5"/>
  <c r="S16" i="5"/>
  <c r="S10" i="5"/>
  <c r="S9" i="5"/>
  <c r="U10" i="5"/>
  <c r="AU6" i="5"/>
  <c r="AU7" i="5"/>
  <c r="AU9" i="5"/>
  <c r="AU14" i="5"/>
  <c r="AU17" i="5"/>
  <c r="AU21" i="5"/>
  <c r="AU22" i="5"/>
  <c r="AU25" i="5"/>
  <c r="AU26" i="5"/>
  <c r="AU30" i="5"/>
  <c r="AU32" i="5"/>
  <c r="AU33" i="5"/>
  <c r="AU35" i="5"/>
  <c r="AU38" i="5"/>
  <c r="AU43" i="5"/>
  <c r="AU46" i="5"/>
  <c r="AU47" i="5"/>
  <c r="AU53" i="5"/>
  <c r="AU57" i="5"/>
  <c r="AU58" i="5"/>
  <c r="AU59" i="5"/>
  <c r="AU61" i="5"/>
  <c r="AU62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4" i="5"/>
  <c r="AU85" i="5"/>
  <c r="AU86" i="5"/>
  <c r="AU87" i="5"/>
  <c r="AU89" i="5"/>
  <c r="AU92" i="5"/>
  <c r="AU93" i="5"/>
  <c r="AU94" i="5"/>
  <c r="AU95" i="5"/>
  <c r="AU96" i="5"/>
  <c r="AU97" i="5"/>
  <c r="AU98" i="5"/>
  <c r="AU99" i="5"/>
  <c r="AU101" i="5"/>
  <c r="AU102" i="5"/>
  <c r="AU60" i="5"/>
  <c r="AU88" i="5"/>
  <c r="AU103" i="5"/>
  <c r="AU104" i="5"/>
  <c r="AU105" i="5"/>
  <c r="AU100" i="5"/>
  <c r="AU90" i="5"/>
  <c r="AU91" i="5"/>
  <c r="AU106" i="5"/>
  <c r="AU107" i="5"/>
  <c r="AU108" i="5"/>
  <c r="AU109" i="5"/>
  <c r="AU110" i="5"/>
  <c r="AY106" i="5"/>
  <c r="AY107" i="5"/>
  <c r="AY108" i="5"/>
  <c r="AY109" i="5"/>
  <c r="AY110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1" i="5"/>
  <c r="AW52" i="5"/>
  <c r="AW53" i="5"/>
  <c r="AW54" i="5"/>
  <c r="AW55" i="5"/>
  <c r="AW56" i="5"/>
  <c r="AW57" i="5"/>
  <c r="AW58" i="5"/>
  <c r="AW59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4" i="5"/>
  <c r="AW85" i="5"/>
  <c r="AW86" i="5"/>
  <c r="AW87" i="5"/>
  <c r="AW89" i="5"/>
  <c r="AW92" i="5"/>
  <c r="AW93" i="5"/>
  <c r="AW94" i="5"/>
  <c r="AW95" i="5"/>
  <c r="AW96" i="5"/>
  <c r="AW97" i="5"/>
  <c r="AW98" i="5"/>
  <c r="AW99" i="5"/>
  <c r="AW101" i="5"/>
  <c r="AW102" i="5"/>
  <c r="AW60" i="5"/>
  <c r="AW88" i="5"/>
  <c r="AW103" i="5"/>
  <c r="AW104" i="5"/>
  <c r="AW105" i="5"/>
  <c r="AW100" i="5"/>
  <c r="AW90" i="5"/>
  <c r="AW91" i="5"/>
  <c r="AW106" i="5"/>
  <c r="AW107" i="5"/>
  <c r="AW108" i="5"/>
  <c r="AW109" i="5"/>
  <c r="AW110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1" i="5"/>
  <c r="BE52" i="5"/>
  <c r="BE53" i="5"/>
  <c r="BE54" i="5"/>
  <c r="BE55" i="5"/>
  <c r="BE56" i="5"/>
  <c r="BE57" i="5"/>
  <c r="BE58" i="5"/>
  <c r="BE59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4" i="5"/>
  <c r="BE85" i="5"/>
  <c r="BE86" i="5"/>
  <c r="BE87" i="5"/>
  <c r="BE89" i="5"/>
  <c r="BE92" i="5"/>
  <c r="BE93" i="5"/>
  <c r="BE94" i="5"/>
  <c r="BE95" i="5"/>
  <c r="BE96" i="5"/>
  <c r="BE97" i="5"/>
  <c r="BE98" i="5"/>
  <c r="BE99" i="5"/>
  <c r="BE101" i="5"/>
  <c r="BE102" i="5"/>
  <c r="BE60" i="5"/>
  <c r="BE88" i="5"/>
  <c r="BE103" i="5"/>
  <c r="BE104" i="5"/>
  <c r="BE105" i="5"/>
  <c r="BE100" i="5"/>
  <c r="BE90" i="5"/>
  <c r="BE91" i="5"/>
  <c r="BE106" i="5"/>
  <c r="BE107" i="5"/>
  <c r="BE108" i="5"/>
  <c r="BE109" i="5"/>
  <c r="BE110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4" i="5"/>
  <c r="BC85" i="5"/>
  <c r="BC86" i="5"/>
  <c r="BC87" i="5"/>
  <c r="BC89" i="5"/>
  <c r="BC92" i="5"/>
  <c r="BC93" i="5"/>
  <c r="BC94" i="5"/>
  <c r="BC95" i="5"/>
  <c r="BC96" i="5"/>
  <c r="BC97" i="5"/>
  <c r="BC98" i="5"/>
  <c r="BC99" i="5"/>
  <c r="BC101" i="5"/>
  <c r="BC102" i="5"/>
  <c r="BC60" i="5"/>
  <c r="BC88" i="5"/>
  <c r="BC103" i="5"/>
  <c r="BC104" i="5"/>
  <c r="BC105" i="5"/>
  <c r="BC100" i="5"/>
  <c r="BC90" i="5"/>
  <c r="BC91" i="5"/>
  <c r="BC106" i="5"/>
  <c r="BC107" i="5"/>
  <c r="BC108" i="5"/>
  <c r="BC109" i="5"/>
  <c r="BC110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4" i="5"/>
  <c r="BA85" i="5"/>
  <c r="BA86" i="5"/>
  <c r="BA87" i="5"/>
  <c r="BA89" i="5"/>
  <c r="BA92" i="5"/>
  <c r="BA93" i="5"/>
  <c r="BA94" i="5"/>
  <c r="BA95" i="5"/>
  <c r="BA96" i="5"/>
  <c r="BA97" i="5"/>
  <c r="BA98" i="5"/>
  <c r="BA99" i="5"/>
  <c r="BA101" i="5"/>
  <c r="BA102" i="5"/>
  <c r="BA60" i="5"/>
  <c r="BA88" i="5"/>
  <c r="BA103" i="5"/>
  <c r="BA104" i="5"/>
  <c r="BA105" i="5"/>
  <c r="BA100" i="5"/>
  <c r="BA90" i="5"/>
  <c r="BA91" i="5"/>
  <c r="BA106" i="5"/>
  <c r="BA107" i="5"/>
  <c r="BA108" i="5"/>
  <c r="BA109" i="5"/>
  <c r="BA110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1" i="5"/>
  <c r="AY52" i="5"/>
  <c r="AY53" i="5"/>
  <c r="AY54" i="5"/>
  <c r="AY55" i="5"/>
  <c r="AY56" i="5"/>
  <c r="AY57" i="5"/>
  <c r="AY58" i="5"/>
  <c r="AY59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4" i="5"/>
  <c r="AY85" i="5"/>
  <c r="AY86" i="5"/>
  <c r="AY87" i="5"/>
  <c r="AY89" i="5"/>
  <c r="AY92" i="5"/>
  <c r="AY93" i="5"/>
  <c r="AY94" i="5"/>
  <c r="AY95" i="5"/>
  <c r="AY96" i="5"/>
  <c r="AY97" i="5"/>
  <c r="AY98" i="5"/>
  <c r="AY99" i="5"/>
  <c r="AY101" i="5"/>
  <c r="AY102" i="5"/>
  <c r="AY60" i="5"/>
  <c r="AY88" i="5"/>
  <c r="AY103" i="5"/>
  <c r="AY104" i="5"/>
  <c r="AY105" i="5"/>
  <c r="AY100" i="5"/>
  <c r="AY90" i="5"/>
  <c r="AY91" i="5"/>
  <c r="I77" i="5"/>
  <c r="M77" i="5"/>
  <c r="AG77" i="5"/>
  <c r="AI77" i="5"/>
  <c r="AO77" i="5"/>
  <c r="O55" i="5"/>
  <c r="O51" i="5"/>
  <c r="O52" i="5"/>
  <c r="O54" i="5"/>
  <c r="O50" i="5"/>
  <c r="O48" i="5"/>
  <c r="O49" i="5"/>
  <c r="O45" i="5"/>
  <c r="O40" i="5"/>
  <c r="O37" i="5"/>
  <c r="I88" i="13" l="1"/>
  <c r="AO111" i="13"/>
  <c r="AI111" i="13"/>
  <c r="AG111" i="13"/>
  <c r="M111" i="13"/>
  <c r="I111" i="13"/>
  <c r="AO110" i="13"/>
  <c r="AI110" i="13"/>
  <c r="AG110" i="13"/>
  <c r="M110" i="13"/>
  <c r="I110" i="13"/>
  <c r="AO109" i="13"/>
  <c r="AI109" i="13"/>
  <c r="AG109" i="13"/>
  <c r="M109" i="13"/>
  <c r="I109" i="13"/>
  <c r="AO108" i="13"/>
  <c r="AI108" i="13"/>
  <c r="AG108" i="13"/>
  <c r="M108" i="13"/>
  <c r="I108" i="13"/>
  <c r="AO107" i="13"/>
  <c r="AI107" i="13"/>
  <c r="AG107" i="13"/>
  <c r="M107" i="13"/>
  <c r="I107" i="13"/>
  <c r="AO106" i="13"/>
  <c r="AI106" i="13"/>
  <c r="AG106" i="13"/>
  <c r="M106" i="13"/>
  <c r="I106" i="13"/>
  <c r="AQ105" i="13"/>
  <c r="AO105" i="13"/>
  <c r="AI105" i="13"/>
  <c r="AG105" i="13"/>
  <c r="M105" i="13"/>
  <c r="I105" i="13"/>
  <c r="AQ104" i="13"/>
  <c r="AO104" i="13"/>
  <c r="AI104" i="13"/>
  <c r="AG104" i="13"/>
  <c r="M104" i="13"/>
  <c r="I104" i="13"/>
  <c r="BM103" i="13"/>
  <c r="AQ103" i="13"/>
  <c r="AO103" i="13"/>
  <c r="AI103" i="13"/>
  <c r="AG103" i="13"/>
  <c r="M103" i="13"/>
  <c r="I103" i="13"/>
  <c r="BM102" i="13"/>
  <c r="AO102" i="13"/>
  <c r="AM102" i="13"/>
  <c r="AK102" i="13"/>
  <c r="AI102" i="13"/>
  <c r="AG102" i="13"/>
  <c r="M102" i="13"/>
  <c r="I102" i="13"/>
  <c r="BM101" i="13"/>
  <c r="AQ101" i="13"/>
  <c r="AO101" i="13"/>
  <c r="AM101" i="13"/>
  <c r="AK101" i="13"/>
  <c r="AI101" i="13"/>
  <c r="AG101" i="13"/>
  <c r="M101" i="13"/>
  <c r="I101" i="13"/>
  <c r="BM100" i="13"/>
  <c r="AQ100" i="13"/>
  <c r="AO100" i="13"/>
  <c r="AM100" i="13"/>
  <c r="AK100" i="13"/>
  <c r="AI100" i="13"/>
  <c r="AG100" i="13"/>
  <c r="M100" i="13"/>
  <c r="I100" i="13"/>
  <c r="BM99" i="13"/>
  <c r="AQ99" i="13"/>
  <c r="AO99" i="13"/>
  <c r="AK99" i="13"/>
  <c r="AI99" i="13"/>
  <c r="AG99" i="13"/>
  <c r="M99" i="13"/>
  <c r="I99" i="13"/>
  <c r="BM98" i="13"/>
  <c r="AQ98" i="13"/>
  <c r="AO98" i="13"/>
  <c r="AM98" i="13"/>
  <c r="AK98" i="13"/>
  <c r="AI98" i="13"/>
  <c r="AG98" i="13"/>
  <c r="M98" i="13"/>
  <c r="I98" i="13"/>
  <c r="BM97" i="13"/>
  <c r="AQ97" i="13"/>
  <c r="AO97" i="13"/>
  <c r="AM97" i="13"/>
  <c r="AK97" i="13"/>
  <c r="AI97" i="13"/>
  <c r="AG97" i="13"/>
  <c r="M97" i="13"/>
  <c r="I97" i="13"/>
  <c r="BM96" i="13"/>
  <c r="AS96" i="13"/>
  <c r="AQ96" i="13"/>
  <c r="AO96" i="13"/>
  <c r="AM96" i="13"/>
  <c r="AK96" i="13"/>
  <c r="AI96" i="13"/>
  <c r="AG96" i="13"/>
  <c r="M96" i="13"/>
  <c r="K96" i="13"/>
  <c r="I96" i="13"/>
  <c r="BM95" i="13"/>
  <c r="AQ95" i="13"/>
  <c r="AO95" i="13"/>
  <c r="AK95" i="13"/>
  <c r="AI95" i="13"/>
  <c r="AG95" i="13"/>
  <c r="M95" i="13"/>
  <c r="I95" i="13"/>
  <c r="BM94" i="13"/>
  <c r="AQ94" i="13"/>
  <c r="AO94" i="13"/>
  <c r="AK94" i="13"/>
  <c r="AI94" i="13"/>
  <c r="AG94" i="13"/>
  <c r="M94" i="13"/>
  <c r="I94" i="13"/>
  <c r="BM93" i="13"/>
  <c r="AQ93" i="13"/>
  <c r="AO93" i="13"/>
  <c r="AK93" i="13"/>
  <c r="AI93" i="13"/>
  <c r="AG93" i="13"/>
  <c r="M93" i="13"/>
  <c r="I93" i="13"/>
  <c r="BM92" i="13"/>
  <c r="AS92" i="13"/>
  <c r="AQ92" i="13"/>
  <c r="AO92" i="13"/>
  <c r="AM92" i="13"/>
  <c r="AK92" i="13"/>
  <c r="AI92" i="13"/>
  <c r="AG92" i="13"/>
  <c r="M92" i="13"/>
  <c r="K92" i="13"/>
  <c r="I92" i="13"/>
  <c r="BM91" i="13"/>
  <c r="AO91" i="13"/>
  <c r="AK91" i="13"/>
  <c r="AI91" i="13"/>
  <c r="AG91" i="13"/>
  <c r="M91" i="13"/>
  <c r="I91" i="13"/>
  <c r="BM90" i="13"/>
  <c r="AQ90" i="13"/>
  <c r="AO90" i="13"/>
  <c r="AK90" i="13"/>
  <c r="AI90" i="13"/>
  <c r="AG90" i="13"/>
  <c r="M90" i="13"/>
  <c r="I90" i="13"/>
  <c r="BM89" i="13"/>
  <c r="AS89" i="13"/>
  <c r="AQ89" i="13"/>
  <c r="AO89" i="13"/>
  <c r="AM89" i="13"/>
  <c r="AK89" i="13"/>
  <c r="AI89" i="13"/>
  <c r="AG89" i="13"/>
  <c r="M89" i="13"/>
  <c r="K89" i="13"/>
  <c r="I89" i="13"/>
  <c r="BM88" i="13"/>
  <c r="AS88" i="13"/>
  <c r="AQ88" i="13"/>
  <c r="AO88" i="13"/>
  <c r="AM88" i="13"/>
  <c r="AK88" i="13"/>
  <c r="AI88" i="13"/>
  <c r="AG88" i="13"/>
  <c r="M88" i="13"/>
  <c r="K88" i="13"/>
  <c r="BM87" i="13"/>
  <c r="AQ87" i="13"/>
  <c r="AO87" i="13"/>
  <c r="AK87" i="13"/>
  <c r="AI87" i="13"/>
  <c r="AG87" i="13"/>
  <c r="M87" i="13"/>
  <c r="I87" i="13"/>
  <c r="BM86" i="13"/>
  <c r="AS86" i="13"/>
  <c r="AQ86" i="13"/>
  <c r="AO86" i="13"/>
  <c r="AM86" i="13"/>
  <c r="AK86" i="13"/>
  <c r="AI86" i="13"/>
  <c r="AG86" i="13"/>
  <c r="M86" i="13"/>
  <c r="K86" i="13"/>
  <c r="I86" i="13"/>
  <c r="BM85" i="13"/>
  <c r="AS85" i="13"/>
  <c r="AQ85" i="13"/>
  <c r="AO85" i="13"/>
  <c r="AM85" i="13"/>
  <c r="AK85" i="13"/>
  <c r="AI85" i="13"/>
  <c r="AG85" i="13"/>
  <c r="M85" i="13"/>
  <c r="K85" i="13"/>
  <c r="I85" i="13"/>
  <c r="BM84" i="13"/>
  <c r="AQ84" i="13"/>
  <c r="AO84" i="13"/>
  <c r="AM84" i="13"/>
  <c r="AK84" i="13"/>
  <c r="AI84" i="13"/>
  <c r="AG84" i="13"/>
  <c r="M84" i="13"/>
  <c r="I84" i="13"/>
  <c r="BM83" i="13"/>
  <c r="AQ83" i="13"/>
  <c r="AO83" i="13"/>
  <c r="AK83" i="13"/>
  <c r="AI83" i="13"/>
  <c r="AG83" i="13"/>
  <c r="AE83" i="13"/>
  <c r="M83" i="13"/>
  <c r="K83" i="13"/>
  <c r="I83" i="13"/>
  <c r="BM82" i="13"/>
  <c r="AS82" i="13"/>
  <c r="AQ82" i="13"/>
  <c r="AO82" i="13"/>
  <c r="AM82" i="13"/>
  <c r="AK82" i="13"/>
  <c r="AI82" i="13"/>
  <c r="AG82" i="13"/>
  <c r="AE82" i="13"/>
  <c r="M82" i="13"/>
  <c r="K82" i="13"/>
  <c r="I82" i="13"/>
  <c r="BM81" i="13"/>
  <c r="BI81" i="13"/>
  <c r="BA81" i="13"/>
  <c r="AS81" i="13"/>
  <c r="AQ81" i="13"/>
  <c r="AO81" i="13"/>
  <c r="AK81" i="13"/>
  <c r="AI81" i="13"/>
  <c r="AG81" i="13"/>
  <c r="AC81" i="13"/>
  <c r="AA81" i="13"/>
  <c r="Y81" i="13"/>
  <c r="W81" i="13"/>
  <c r="M81" i="13"/>
  <c r="K81" i="13"/>
  <c r="I81" i="13"/>
  <c r="BM80" i="13"/>
  <c r="AS80" i="13"/>
  <c r="AQ80" i="13"/>
  <c r="AO80" i="13"/>
  <c r="AK80" i="13"/>
  <c r="AI80" i="13"/>
  <c r="AG80" i="13"/>
  <c r="AC80" i="13"/>
  <c r="AA80" i="13"/>
  <c r="Y80" i="13"/>
  <c r="W80" i="13"/>
  <c r="U80" i="13"/>
  <c r="M80" i="13"/>
  <c r="K80" i="13"/>
  <c r="I80" i="13"/>
  <c r="BM79" i="13"/>
  <c r="AS79" i="13"/>
  <c r="AQ79" i="13"/>
  <c r="AO79" i="13"/>
  <c r="AM79" i="13"/>
  <c r="AK79" i="13"/>
  <c r="AI79" i="13"/>
  <c r="AG79" i="13"/>
  <c r="AE79" i="13"/>
  <c r="AC79" i="13"/>
  <c r="AA79" i="13"/>
  <c r="Y79" i="13"/>
  <c r="W79" i="13"/>
  <c r="U79" i="13"/>
  <c r="M79" i="13"/>
  <c r="K79" i="13"/>
  <c r="I79" i="13"/>
  <c r="BM78" i="13"/>
  <c r="AS78" i="13"/>
  <c r="AQ78" i="13"/>
  <c r="AO78" i="13"/>
  <c r="AM78" i="13"/>
  <c r="AK78" i="13"/>
  <c r="AI78" i="13"/>
  <c r="AG78" i="13"/>
  <c r="AE78" i="13"/>
  <c r="AC78" i="13"/>
  <c r="AA78" i="13"/>
  <c r="Y78" i="13"/>
  <c r="W78" i="13"/>
  <c r="U78" i="13"/>
  <c r="M78" i="13"/>
  <c r="K78" i="13"/>
  <c r="I78" i="13"/>
  <c r="BM77" i="13"/>
  <c r="AS77" i="13"/>
  <c r="AQ77" i="13"/>
  <c r="AO77" i="13"/>
  <c r="AM77" i="13"/>
  <c r="AK77" i="13"/>
  <c r="AI77" i="13"/>
  <c r="AG77" i="13"/>
  <c r="AE77" i="13"/>
  <c r="AC77" i="13"/>
  <c r="Y77" i="13"/>
  <c r="W77" i="13"/>
  <c r="U77" i="13"/>
  <c r="M77" i="13"/>
  <c r="K77" i="13"/>
  <c r="I77" i="13"/>
  <c r="BM76" i="13"/>
  <c r="AS76" i="13"/>
  <c r="AQ76" i="13"/>
  <c r="AO76" i="13"/>
  <c r="AM76" i="13"/>
  <c r="AK76" i="13"/>
  <c r="AI76" i="13"/>
  <c r="AG76" i="13"/>
  <c r="AE76" i="13"/>
  <c r="AC76" i="13"/>
  <c r="Y76" i="13"/>
  <c r="W76" i="13"/>
  <c r="U76" i="13"/>
  <c r="M76" i="13"/>
  <c r="K76" i="13"/>
  <c r="I76" i="13"/>
  <c r="BM75" i="13"/>
  <c r="AS75" i="13"/>
  <c r="AQ75" i="13"/>
  <c r="AO75" i="13"/>
  <c r="AM75" i="13"/>
  <c r="AK75" i="13"/>
  <c r="AI75" i="13"/>
  <c r="AG75" i="13"/>
  <c r="AE75" i="13"/>
  <c r="AC75" i="13"/>
  <c r="Y75" i="13"/>
  <c r="W75" i="13"/>
  <c r="M75" i="13"/>
  <c r="K75" i="13"/>
  <c r="I75" i="13"/>
  <c r="BM74" i="13"/>
  <c r="AS74" i="13"/>
  <c r="AQ74" i="13"/>
  <c r="AO74" i="13"/>
  <c r="AM74" i="13"/>
  <c r="AK74" i="13"/>
  <c r="AI74" i="13"/>
  <c r="AG74" i="13"/>
  <c r="AE74" i="13"/>
  <c r="AC74" i="13"/>
  <c r="Y74" i="13"/>
  <c r="W74" i="13"/>
  <c r="U74" i="13"/>
  <c r="M74" i="13"/>
  <c r="K74" i="13"/>
  <c r="I74" i="13"/>
  <c r="BM73" i="13"/>
  <c r="AS73" i="13"/>
  <c r="AQ73" i="13"/>
  <c r="AO73" i="13"/>
  <c r="AM73" i="13"/>
  <c r="AK73" i="13"/>
  <c r="AI73" i="13"/>
  <c r="AG73" i="13"/>
  <c r="AE73" i="13"/>
  <c r="AC73" i="13"/>
  <c r="AA73" i="13"/>
  <c r="Y73" i="13"/>
  <c r="W73" i="13"/>
  <c r="M73" i="13"/>
  <c r="K73" i="13"/>
  <c r="I73" i="13"/>
  <c r="BM72" i="13"/>
  <c r="AS72" i="13"/>
  <c r="AQ72" i="13"/>
  <c r="AO72" i="13"/>
  <c r="AM72" i="13"/>
  <c r="AK72" i="13"/>
  <c r="AI72" i="13"/>
  <c r="AG72" i="13"/>
  <c r="AE72" i="13"/>
  <c r="AC72" i="13"/>
  <c r="AA72" i="13"/>
  <c r="Y72" i="13"/>
  <c r="W72" i="13"/>
  <c r="U72" i="13"/>
  <c r="M72" i="13"/>
  <c r="K72" i="13"/>
  <c r="I72" i="13"/>
  <c r="BM71" i="13"/>
  <c r="AS71" i="13"/>
  <c r="AQ71" i="13"/>
  <c r="AO71" i="13"/>
  <c r="AM71" i="13"/>
  <c r="AK71" i="13"/>
  <c r="AI71" i="13"/>
  <c r="AG71" i="13"/>
  <c r="AE71" i="13"/>
  <c r="AC71" i="13"/>
  <c r="AA71" i="13"/>
  <c r="Y71" i="13"/>
  <c r="W71" i="13"/>
  <c r="M71" i="13"/>
  <c r="K71" i="13"/>
  <c r="I71" i="13"/>
  <c r="BM70" i="13"/>
  <c r="AS70" i="13"/>
  <c r="AQ70" i="13"/>
  <c r="AO70" i="13"/>
  <c r="AM70" i="13"/>
  <c r="AK70" i="13"/>
  <c r="AI70" i="13"/>
  <c r="AG70" i="13"/>
  <c r="AE70" i="13"/>
  <c r="AC70" i="13"/>
  <c r="AA70" i="13"/>
  <c r="Y70" i="13"/>
  <c r="W70" i="13"/>
  <c r="U70" i="13"/>
  <c r="M70" i="13"/>
  <c r="K70" i="13"/>
  <c r="I70" i="13"/>
  <c r="BM69" i="13"/>
  <c r="AS69" i="13"/>
  <c r="AQ69" i="13"/>
  <c r="AO69" i="13"/>
  <c r="AM69" i="13"/>
  <c r="AK69" i="13"/>
  <c r="AI69" i="13"/>
  <c r="AG69" i="13"/>
  <c r="AE69" i="13"/>
  <c r="AC69" i="13"/>
  <c r="AA69" i="13"/>
  <c r="Y69" i="13"/>
  <c r="W69" i="13"/>
  <c r="U69" i="13"/>
  <c r="M69" i="13"/>
  <c r="K69" i="13"/>
  <c r="I69" i="13"/>
  <c r="BM68" i="13"/>
  <c r="AS68" i="13"/>
  <c r="AQ68" i="13"/>
  <c r="AO68" i="13"/>
  <c r="AK68" i="13"/>
  <c r="AI68" i="13"/>
  <c r="AG68" i="13"/>
  <c r="AE68" i="13"/>
  <c r="AC68" i="13"/>
  <c r="AA68" i="13"/>
  <c r="Y68" i="13"/>
  <c r="W68" i="13"/>
  <c r="M68" i="13"/>
  <c r="K68" i="13"/>
  <c r="I68" i="13"/>
  <c r="BM67" i="13"/>
  <c r="AS67" i="13"/>
  <c r="AQ67" i="13"/>
  <c r="AO67" i="13"/>
  <c r="AM67" i="13"/>
  <c r="AK67" i="13"/>
  <c r="AI67" i="13"/>
  <c r="AG67" i="13"/>
  <c r="AE67" i="13"/>
  <c r="AC67" i="13"/>
  <c r="AA67" i="13"/>
  <c r="Y67" i="13"/>
  <c r="W67" i="13"/>
  <c r="U67" i="13"/>
  <c r="M67" i="13"/>
  <c r="K67" i="13"/>
  <c r="I67" i="13"/>
  <c r="BM66" i="13"/>
  <c r="AS66" i="13"/>
  <c r="AQ66" i="13"/>
  <c r="AO66" i="13"/>
  <c r="AM66" i="13"/>
  <c r="AK66" i="13"/>
  <c r="AI66" i="13"/>
  <c r="AG66" i="13"/>
  <c r="AE66" i="13"/>
  <c r="AC66" i="13"/>
  <c r="AA66" i="13"/>
  <c r="Y66" i="13"/>
  <c r="W66" i="13"/>
  <c r="U66" i="13"/>
  <c r="M66" i="13"/>
  <c r="K66" i="13"/>
  <c r="I66" i="13"/>
  <c r="BM65" i="13"/>
  <c r="AS65" i="13"/>
  <c r="AQ65" i="13"/>
  <c r="AO65" i="13"/>
  <c r="AM65" i="13"/>
  <c r="AK65" i="13"/>
  <c r="AI65" i="13"/>
  <c r="AG65" i="13"/>
  <c r="AE65" i="13"/>
  <c r="AC65" i="13"/>
  <c r="AA65" i="13"/>
  <c r="Y65" i="13"/>
  <c r="W65" i="13"/>
  <c r="U65" i="13"/>
  <c r="M65" i="13"/>
  <c r="K65" i="13"/>
  <c r="I65" i="13"/>
  <c r="BM64" i="13"/>
  <c r="AS64" i="13"/>
  <c r="AQ64" i="13"/>
  <c r="AO64" i="13"/>
  <c r="AM64" i="13"/>
  <c r="AK64" i="13"/>
  <c r="AI64" i="13"/>
  <c r="AG64" i="13"/>
  <c r="AE64" i="13"/>
  <c r="AC64" i="13"/>
  <c r="AA64" i="13"/>
  <c r="Y64" i="13"/>
  <c r="W64" i="13"/>
  <c r="Q64" i="13"/>
  <c r="M64" i="13"/>
  <c r="K64" i="13"/>
  <c r="I64" i="13"/>
  <c r="BM63" i="13"/>
  <c r="AS63" i="13"/>
  <c r="AQ63" i="13"/>
  <c r="AO63" i="13"/>
  <c r="AM63" i="13"/>
  <c r="AK63" i="13"/>
  <c r="AI63" i="13"/>
  <c r="AG63" i="13"/>
  <c r="AE63" i="13"/>
  <c r="AC63" i="13"/>
  <c r="AA63" i="13"/>
  <c r="Y63" i="13"/>
  <c r="W63" i="13"/>
  <c r="U63" i="13"/>
  <c r="Q63" i="13"/>
  <c r="M63" i="13"/>
  <c r="K63" i="13"/>
  <c r="I63" i="13"/>
  <c r="BM62" i="13"/>
  <c r="AS62" i="13"/>
  <c r="AQ62" i="13"/>
  <c r="AO62" i="13"/>
  <c r="AM62" i="13"/>
  <c r="AK62" i="13"/>
  <c r="AI62" i="13"/>
  <c r="AG62" i="13"/>
  <c r="AE62" i="13"/>
  <c r="AC62" i="13"/>
  <c r="AA62" i="13"/>
  <c r="Y62" i="13"/>
  <c r="W62" i="13"/>
  <c r="U62" i="13"/>
  <c r="Q62" i="13"/>
  <c r="M62" i="13"/>
  <c r="K62" i="13"/>
  <c r="I62" i="13"/>
  <c r="BM61" i="13"/>
  <c r="AS61" i="13"/>
  <c r="AQ61" i="13"/>
  <c r="AO61" i="13"/>
  <c r="AM61" i="13"/>
  <c r="AK61" i="13"/>
  <c r="AI61" i="13"/>
  <c r="AG61" i="13"/>
  <c r="AE61" i="13"/>
  <c r="AC61" i="13"/>
  <c r="AA61" i="13"/>
  <c r="Y61" i="13"/>
  <c r="W61" i="13"/>
  <c r="U61" i="13"/>
  <c r="Q61" i="13"/>
  <c r="M61" i="13"/>
  <c r="K61" i="13"/>
  <c r="I61" i="13"/>
  <c r="BM60" i="13"/>
  <c r="AS60" i="13"/>
  <c r="AQ60" i="13"/>
  <c r="AO60" i="13"/>
  <c r="AK60" i="13"/>
  <c r="AI60" i="13"/>
  <c r="AG60" i="13"/>
  <c r="AE60" i="13"/>
  <c r="AC60" i="13"/>
  <c r="AA60" i="13"/>
  <c r="Y60" i="13"/>
  <c r="W60" i="13"/>
  <c r="U60" i="13"/>
  <c r="Q60" i="13"/>
  <c r="M60" i="13"/>
  <c r="K60" i="13"/>
  <c r="I60" i="13"/>
  <c r="BM59" i="13"/>
  <c r="AS59" i="13"/>
  <c r="AQ59" i="13"/>
  <c r="AO59" i="13"/>
  <c r="AM59" i="13"/>
  <c r="AK59" i="13"/>
  <c r="AI59" i="13"/>
  <c r="AG59" i="13"/>
  <c r="AE59" i="13"/>
  <c r="AC59" i="13"/>
  <c r="AA59" i="13"/>
  <c r="Y59" i="13"/>
  <c r="W59" i="13"/>
  <c r="U59" i="13"/>
  <c r="S59" i="13"/>
  <c r="Q59" i="13"/>
  <c r="M59" i="13"/>
  <c r="K59" i="13"/>
  <c r="I59" i="13"/>
  <c r="BM58" i="13"/>
  <c r="BE58" i="13"/>
  <c r="AS58" i="13"/>
  <c r="AQ58" i="13"/>
  <c r="AO58" i="13"/>
  <c r="AM58" i="13"/>
  <c r="AK58" i="13"/>
  <c r="AI58" i="13"/>
  <c r="AG58" i="13"/>
  <c r="AE58" i="13"/>
  <c r="AC58" i="13"/>
  <c r="AA58" i="13"/>
  <c r="W58" i="13"/>
  <c r="U58" i="13"/>
  <c r="S58" i="13"/>
  <c r="Q58" i="13"/>
  <c r="M58" i="13"/>
  <c r="K58" i="13"/>
  <c r="I58" i="13"/>
  <c r="BM57" i="13"/>
  <c r="AS57" i="13"/>
  <c r="AQ57" i="13"/>
  <c r="AO57" i="13"/>
  <c r="AM57" i="13"/>
  <c r="AK57" i="13"/>
  <c r="AI57" i="13"/>
  <c r="AG57" i="13"/>
  <c r="AE57" i="13"/>
  <c r="AC57" i="13"/>
  <c r="AA57" i="13"/>
  <c r="Y57" i="13"/>
  <c r="W57" i="13"/>
  <c r="U57" i="13"/>
  <c r="S57" i="13"/>
  <c r="Q57" i="13"/>
  <c r="M57" i="13"/>
  <c r="K57" i="13"/>
  <c r="I57" i="13"/>
  <c r="BM56" i="13"/>
  <c r="AS56" i="13"/>
  <c r="AQ56" i="13"/>
  <c r="AO56" i="13"/>
  <c r="AM56" i="13"/>
  <c r="AK56" i="13"/>
  <c r="AI56" i="13"/>
  <c r="AG56" i="13"/>
  <c r="AE56" i="13"/>
  <c r="AC56" i="13"/>
  <c r="AA56" i="13"/>
  <c r="Y56" i="13"/>
  <c r="W56" i="13"/>
  <c r="U56" i="13"/>
  <c r="S56" i="13"/>
  <c r="Q56" i="13"/>
  <c r="M56" i="13"/>
  <c r="K56" i="13"/>
  <c r="I56" i="13"/>
  <c r="BM55" i="13"/>
  <c r="BE55" i="13"/>
  <c r="AS55" i="13"/>
  <c r="AQ55" i="13"/>
  <c r="AO55" i="13"/>
  <c r="AM55" i="13"/>
  <c r="AK55" i="13"/>
  <c r="AI55" i="13"/>
  <c r="AG55" i="13"/>
  <c r="Y55" i="13"/>
  <c r="U55" i="13"/>
  <c r="S55" i="13"/>
  <c r="Q55" i="13"/>
  <c r="M55" i="13"/>
  <c r="K55" i="13"/>
  <c r="I55" i="13"/>
  <c r="BM54" i="13"/>
  <c r="BE54" i="13"/>
  <c r="BA54" i="13"/>
  <c r="AS54" i="13"/>
  <c r="AQ54" i="13"/>
  <c r="AO54" i="13"/>
  <c r="AM54" i="13"/>
  <c r="AK54" i="13"/>
  <c r="AI54" i="13"/>
  <c r="AG54" i="13"/>
  <c r="Y54" i="13"/>
  <c r="W54" i="13"/>
  <c r="S54" i="13"/>
  <c r="Q54" i="13"/>
  <c r="O54" i="13"/>
  <c r="M54" i="13"/>
  <c r="K54" i="13"/>
  <c r="I54" i="13"/>
  <c r="BM53" i="13"/>
  <c r="AS53" i="13"/>
  <c r="AQ53" i="13"/>
  <c r="AO53" i="13"/>
  <c r="AM53" i="13"/>
  <c r="AK53" i="13"/>
  <c r="AI53" i="13"/>
  <c r="AG53" i="13"/>
  <c r="AE53" i="13"/>
  <c r="Y53" i="13"/>
  <c r="W53" i="13"/>
  <c r="S53" i="13"/>
  <c r="Q53" i="13"/>
  <c r="M53" i="13"/>
  <c r="K53" i="13"/>
  <c r="I53" i="13"/>
  <c r="BM52" i="13"/>
  <c r="AS52" i="13"/>
  <c r="AQ52" i="13"/>
  <c r="AO52" i="13"/>
  <c r="AM52" i="13"/>
  <c r="AK52" i="13"/>
  <c r="AI52" i="13"/>
  <c r="AG52" i="13"/>
  <c r="AC52" i="13"/>
  <c r="Y52" i="13"/>
  <c r="W52" i="13"/>
  <c r="U52" i="13"/>
  <c r="S52" i="13"/>
  <c r="Q52" i="13"/>
  <c r="M52" i="13"/>
  <c r="K52" i="13"/>
  <c r="I52" i="13"/>
  <c r="BM51" i="13"/>
  <c r="AS51" i="13"/>
  <c r="AQ51" i="13"/>
  <c r="AO51" i="13"/>
  <c r="AM51" i="13"/>
  <c r="AK51" i="13"/>
  <c r="AI51" i="13"/>
  <c r="AG51" i="13"/>
  <c r="AC51" i="13"/>
  <c r="Y51" i="13"/>
  <c r="W51" i="13"/>
  <c r="U51" i="13"/>
  <c r="S51" i="13"/>
  <c r="Q51" i="13"/>
  <c r="M51" i="13"/>
  <c r="K51" i="13"/>
  <c r="I51" i="13"/>
  <c r="BM50" i="13"/>
  <c r="AS50" i="13"/>
  <c r="AQ50" i="13"/>
  <c r="AO50" i="13"/>
  <c r="AM50" i="13"/>
  <c r="AK50" i="13"/>
  <c r="AI50" i="13"/>
  <c r="AG50" i="13"/>
  <c r="AC50" i="13"/>
  <c r="Y50" i="13"/>
  <c r="S50" i="13"/>
  <c r="Q50" i="13"/>
  <c r="M50" i="13"/>
  <c r="K50" i="13"/>
  <c r="I50" i="13"/>
  <c r="BM49" i="13"/>
  <c r="AS49" i="13"/>
  <c r="AQ49" i="13"/>
  <c r="AO49" i="13"/>
  <c r="AM49" i="13"/>
  <c r="AK49" i="13"/>
  <c r="AI49" i="13"/>
  <c r="AG49" i="13"/>
  <c r="AC49" i="13"/>
  <c r="Y49" i="13"/>
  <c r="W49" i="13"/>
  <c r="U49" i="13"/>
  <c r="S49" i="13"/>
  <c r="Q49" i="13"/>
  <c r="M49" i="13"/>
  <c r="K49" i="13"/>
  <c r="I49" i="13"/>
  <c r="BM48" i="13"/>
  <c r="AY48" i="13"/>
  <c r="AS48" i="13"/>
  <c r="AQ48" i="13"/>
  <c r="AO48" i="13"/>
  <c r="AM48" i="13"/>
  <c r="AK48" i="13"/>
  <c r="AI48" i="13"/>
  <c r="AG48" i="13"/>
  <c r="Y48" i="13"/>
  <c r="U48" i="13"/>
  <c r="Q48" i="13"/>
  <c r="M48" i="13"/>
  <c r="K48" i="13"/>
  <c r="I48" i="13"/>
  <c r="BM47" i="13"/>
  <c r="BK47" i="13"/>
  <c r="AS47" i="13"/>
  <c r="AQ47" i="13"/>
  <c r="AO47" i="13"/>
  <c r="AM47" i="13"/>
  <c r="AK47" i="13"/>
  <c r="AI47" i="13"/>
  <c r="AG47" i="13"/>
  <c r="Y47" i="13"/>
  <c r="U47" i="13"/>
  <c r="S47" i="13"/>
  <c r="Q47" i="13"/>
  <c r="M47" i="13"/>
  <c r="K47" i="13"/>
  <c r="I47" i="13"/>
  <c r="BM46" i="13"/>
  <c r="BI46" i="13"/>
  <c r="AY46" i="13"/>
  <c r="AW46" i="13"/>
  <c r="AU46" i="13"/>
  <c r="AS46" i="13"/>
  <c r="AQ46" i="13"/>
  <c r="AO46" i="13"/>
  <c r="AM46" i="13"/>
  <c r="AK46" i="13"/>
  <c r="AI46" i="13"/>
  <c r="AG46" i="13"/>
  <c r="AC46" i="13"/>
  <c r="Y46" i="13"/>
  <c r="U46" i="13"/>
  <c r="M46" i="13"/>
  <c r="K46" i="13"/>
  <c r="I46" i="13"/>
  <c r="BM45" i="13"/>
  <c r="BA45" i="13"/>
  <c r="AS45" i="13"/>
  <c r="AQ45" i="13"/>
  <c r="AO45" i="13"/>
  <c r="AM45" i="13"/>
  <c r="AK45" i="13"/>
  <c r="AI45" i="13"/>
  <c r="AG45" i="13"/>
  <c r="S45" i="13"/>
  <c r="Q45" i="13"/>
  <c r="M45" i="13"/>
  <c r="K45" i="13"/>
  <c r="I45" i="13"/>
  <c r="BM44" i="13"/>
  <c r="AS44" i="13"/>
  <c r="AQ44" i="13"/>
  <c r="AO44" i="13"/>
  <c r="AM44" i="13"/>
  <c r="AK44" i="13"/>
  <c r="AI44" i="13"/>
  <c r="AG44" i="13"/>
  <c r="Y44" i="13"/>
  <c r="W44" i="13"/>
  <c r="U44" i="13"/>
  <c r="Q44" i="13"/>
  <c r="O44" i="13"/>
  <c r="M44" i="13"/>
  <c r="K44" i="13"/>
  <c r="I44" i="13"/>
  <c r="BM43" i="13"/>
  <c r="AY43" i="13"/>
  <c r="AU43" i="13"/>
  <c r="AS43" i="13"/>
  <c r="AQ43" i="13"/>
  <c r="AO43" i="13"/>
  <c r="AM43" i="13"/>
  <c r="AK43" i="13"/>
  <c r="AI43" i="13"/>
  <c r="AG43" i="13"/>
  <c r="Y43" i="13"/>
  <c r="W43" i="13"/>
  <c r="U43" i="13"/>
  <c r="Q43" i="13"/>
  <c r="O43" i="13"/>
  <c r="M43" i="13"/>
  <c r="K43" i="13"/>
  <c r="I43" i="13"/>
  <c r="BM42" i="13"/>
  <c r="AY42" i="13"/>
  <c r="AS42" i="13"/>
  <c r="AQ42" i="13"/>
  <c r="AO42" i="13"/>
  <c r="AM42" i="13"/>
  <c r="AK42" i="13"/>
  <c r="AI42" i="13"/>
  <c r="AG42" i="13"/>
  <c r="Y42" i="13"/>
  <c r="W42" i="13"/>
  <c r="U42" i="13"/>
  <c r="Q42" i="13"/>
  <c r="O42" i="13"/>
  <c r="M42" i="13"/>
  <c r="K42" i="13"/>
  <c r="I42" i="13"/>
  <c r="BM41" i="13"/>
  <c r="BE41" i="13"/>
  <c r="BA41" i="13"/>
  <c r="AS41" i="13"/>
  <c r="AQ41" i="13"/>
  <c r="AO41" i="13"/>
  <c r="AM41" i="13"/>
  <c r="AK41" i="13"/>
  <c r="AI41" i="13"/>
  <c r="AG41" i="13"/>
  <c r="Y41" i="13"/>
  <c r="W41" i="13"/>
  <c r="U41" i="13"/>
  <c r="S41" i="13"/>
  <c r="Q41" i="13"/>
  <c r="O41" i="13"/>
  <c r="M41" i="13"/>
  <c r="K41" i="13"/>
  <c r="I41" i="13"/>
  <c r="BM40" i="13"/>
  <c r="BG40" i="13"/>
  <c r="AY40" i="13"/>
  <c r="AS40" i="13"/>
  <c r="AQ40" i="13"/>
  <c r="AO40" i="13"/>
  <c r="AM40" i="13"/>
  <c r="AK40" i="13"/>
  <c r="AI40" i="13"/>
  <c r="AG40" i="13"/>
  <c r="AE40" i="13"/>
  <c r="Y40" i="13"/>
  <c r="U40" i="13"/>
  <c r="Q40" i="13"/>
  <c r="M40" i="13"/>
  <c r="K40" i="13"/>
  <c r="I40" i="13"/>
  <c r="BM39" i="13"/>
  <c r="AS39" i="13"/>
  <c r="AQ39" i="13"/>
  <c r="AO39" i="13"/>
  <c r="AM39" i="13"/>
  <c r="AK39" i="13"/>
  <c r="AI39" i="13"/>
  <c r="AG39" i="13"/>
  <c r="AE39" i="13"/>
  <c r="AA39" i="13"/>
  <c r="Y39" i="13"/>
  <c r="W39" i="13"/>
  <c r="U39" i="13"/>
  <c r="S39" i="13"/>
  <c r="Q39" i="13"/>
  <c r="O39" i="13"/>
  <c r="M39" i="13"/>
  <c r="K39" i="13"/>
  <c r="I39" i="13"/>
  <c r="BM38" i="13"/>
  <c r="BG38" i="13"/>
  <c r="AS38" i="13"/>
  <c r="AQ38" i="13"/>
  <c r="AO38" i="13"/>
  <c r="AM38" i="13"/>
  <c r="AK38" i="13"/>
  <c r="AI38" i="13"/>
  <c r="AG38" i="13"/>
  <c r="AE38" i="13"/>
  <c r="Y38" i="13"/>
  <c r="U38" i="13"/>
  <c r="S38" i="13"/>
  <c r="M38" i="13"/>
  <c r="K38" i="13"/>
  <c r="I38" i="13"/>
  <c r="BM37" i="13"/>
  <c r="BE37" i="13"/>
  <c r="BA37" i="13"/>
  <c r="AS37" i="13"/>
  <c r="AQ37" i="13"/>
  <c r="AO37" i="13"/>
  <c r="AM37" i="13"/>
  <c r="AK37" i="13"/>
  <c r="AI37" i="13"/>
  <c r="AG37" i="13"/>
  <c r="S37" i="13"/>
  <c r="Q37" i="13"/>
  <c r="M37" i="13"/>
  <c r="K37" i="13"/>
  <c r="I37" i="13"/>
  <c r="BM36" i="13"/>
  <c r="AS36" i="13"/>
  <c r="AQ36" i="13"/>
  <c r="AO36" i="13"/>
  <c r="AM36" i="13"/>
  <c r="AK36" i="13"/>
  <c r="AI36" i="13"/>
  <c r="AG36" i="13"/>
  <c r="AE36" i="13"/>
  <c r="AA36" i="13"/>
  <c r="Y36" i="13"/>
  <c r="W36" i="13"/>
  <c r="U36" i="13"/>
  <c r="S36" i="13"/>
  <c r="Q36" i="13"/>
  <c r="O36" i="13"/>
  <c r="M36" i="13"/>
  <c r="K36" i="13"/>
  <c r="I36" i="13"/>
  <c r="BM35" i="13"/>
  <c r="BE35" i="13"/>
  <c r="BC35" i="13"/>
  <c r="BA35" i="13"/>
  <c r="AU35" i="13"/>
  <c r="AS35" i="13"/>
  <c r="AQ35" i="13"/>
  <c r="AO35" i="13"/>
  <c r="AM35" i="13"/>
  <c r="AK35" i="13"/>
  <c r="AI35" i="13"/>
  <c r="AG35" i="13"/>
  <c r="AE35" i="13"/>
  <c r="AA35" i="13"/>
  <c r="W35" i="13"/>
  <c r="U35" i="13"/>
  <c r="S35" i="13"/>
  <c r="Q35" i="13"/>
  <c r="O35" i="13"/>
  <c r="M35" i="13"/>
  <c r="K35" i="13"/>
  <c r="I35" i="13"/>
  <c r="BM34" i="13"/>
  <c r="AS34" i="13"/>
  <c r="AQ34" i="13"/>
  <c r="AO34" i="13"/>
  <c r="AM34" i="13"/>
  <c r="AK34" i="13"/>
  <c r="AI34" i="13"/>
  <c r="AG34" i="13"/>
  <c r="AE34" i="13"/>
  <c r="Y34" i="13"/>
  <c r="W34" i="13"/>
  <c r="U34" i="13"/>
  <c r="S34" i="13"/>
  <c r="Q34" i="13"/>
  <c r="O34" i="13"/>
  <c r="M34" i="13"/>
  <c r="K34" i="13"/>
  <c r="I34" i="13"/>
  <c r="BM33" i="13"/>
  <c r="BG33" i="13"/>
  <c r="BC33" i="13"/>
  <c r="AY33" i="13"/>
  <c r="AW33" i="13"/>
  <c r="AU33" i="13"/>
  <c r="AS33" i="13"/>
  <c r="AQ33" i="13"/>
  <c r="AO33" i="13"/>
  <c r="AM33" i="13"/>
  <c r="AK33" i="13"/>
  <c r="AI33" i="13"/>
  <c r="AG33" i="13"/>
  <c r="AE33" i="13"/>
  <c r="Y33" i="13"/>
  <c r="W33" i="13"/>
  <c r="U33" i="13"/>
  <c r="M33" i="13"/>
  <c r="K33" i="13"/>
  <c r="I33" i="13"/>
  <c r="BM32" i="13"/>
  <c r="AY32" i="13"/>
  <c r="AW32" i="13"/>
  <c r="AU32" i="13"/>
  <c r="AS32" i="13"/>
  <c r="AQ32" i="13"/>
  <c r="AO32" i="13"/>
  <c r="AM32" i="13"/>
  <c r="AK32" i="13"/>
  <c r="AI32" i="13"/>
  <c r="AG32" i="13"/>
  <c r="U32" i="13"/>
  <c r="M32" i="13"/>
  <c r="K32" i="13"/>
  <c r="I32" i="13"/>
  <c r="BM31" i="13"/>
  <c r="BC31" i="13"/>
  <c r="BA31" i="13"/>
  <c r="AS31" i="13"/>
  <c r="AQ31" i="13"/>
  <c r="AO31" i="13"/>
  <c r="AM31" i="13"/>
  <c r="AK31" i="13"/>
  <c r="AI31" i="13"/>
  <c r="AG31" i="13"/>
  <c r="AE31" i="13"/>
  <c r="Y31" i="13"/>
  <c r="S31" i="13"/>
  <c r="Q31" i="13"/>
  <c r="O31" i="13"/>
  <c r="M31" i="13"/>
  <c r="K31" i="13"/>
  <c r="I31" i="13"/>
  <c r="BM30" i="13"/>
  <c r="BG30" i="13"/>
  <c r="BC30" i="13"/>
  <c r="AY30" i="13"/>
  <c r="AW30" i="13"/>
  <c r="AU30" i="13"/>
  <c r="AS30" i="13"/>
  <c r="AQ30" i="13"/>
  <c r="AO30" i="13"/>
  <c r="AM30" i="13"/>
  <c r="AK30" i="13"/>
  <c r="AI30" i="13"/>
  <c r="AG30" i="13"/>
  <c r="Y30" i="13"/>
  <c r="U30" i="13"/>
  <c r="S30" i="13"/>
  <c r="Q30" i="13"/>
  <c r="O30" i="13"/>
  <c r="M30" i="13"/>
  <c r="K30" i="13"/>
  <c r="I30" i="13"/>
  <c r="BM29" i="13"/>
  <c r="BA29" i="13"/>
  <c r="AY29" i="13"/>
  <c r="AS29" i="13"/>
  <c r="AQ29" i="13"/>
  <c r="AO29" i="13"/>
  <c r="AM29" i="13"/>
  <c r="AK29" i="13"/>
  <c r="AI29" i="13"/>
  <c r="AG29" i="13"/>
  <c r="AE29" i="13"/>
  <c r="AA29" i="13"/>
  <c r="Y29" i="13"/>
  <c r="W29" i="13"/>
  <c r="U29" i="13"/>
  <c r="S29" i="13"/>
  <c r="Q29" i="13"/>
  <c r="O29" i="13"/>
  <c r="M29" i="13"/>
  <c r="K29" i="13"/>
  <c r="I29" i="13"/>
  <c r="BM28" i="13"/>
  <c r="BC28" i="13"/>
  <c r="BA28" i="13"/>
  <c r="AY28" i="13"/>
  <c r="AS28" i="13"/>
  <c r="AQ28" i="13"/>
  <c r="AO28" i="13"/>
  <c r="AM28" i="13"/>
  <c r="AK28" i="13"/>
  <c r="AI28" i="13"/>
  <c r="AG28" i="13"/>
  <c r="AE28" i="13"/>
  <c r="Y28" i="13"/>
  <c r="W28" i="13"/>
  <c r="S28" i="13"/>
  <c r="Q28" i="13"/>
  <c r="O28" i="13"/>
  <c r="M28" i="13"/>
  <c r="K28" i="13"/>
  <c r="I28" i="13"/>
  <c r="BM27" i="13"/>
  <c r="AS27" i="13"/>
  <c r="AQ27" i="13"/>
  <c r="AO27" i="13"/>
  <c r="AM27" i="13"/>
  <c r="AK27" i="13"/>
  <c r="AI27" i="13"/>
  <c r="AG27" i="13"/>
  <c r="AE27" i="13"/>
  <c r="AA27" i="13"/>
  <c r="Y27" i="13"/>
  <c r="W27" i="13"/>
  <c r="U27" i="13"/>
  <c r="S27" i="13"/>
  <c r="Q27" i="13"/>
  <c r="O27" i="13"/>
  <c r="M27" i="13"/>
  <c r="K27" i="13"/>
  <c r="I27" i="13"/>
  <c r="BM26" i="13"/>
  <c r="AU26" i="13"/>
  <c r="AS26" i="13"/>
  <c r="AQ26" i="13"/>
  <c r="AO26" i="13"/>
  <c r="AM26" i="13"/>
  <c r="AK26" i="13"/>
  <c r="AI26" i="13"/>
  <c r="AG26" i="13"/>
  <c r="AE26" i="13"/>
  <c r="AA26" i="13"/>
  <c r="U26" i="13"/>
  <c r="S26" i="13"/>
  <c r="Q26" i="13"/>
  <c r="O26" i="13"/>
  <c r="M26" i="13"/>
  <c r="K26" i="13"/>
  <c r="I26" i="13"/>
  <c r="BM25" i="13"/>
  <c r="AU25" i="13"/>
  <c r="AS25" i="13"/>
  <c r="AQ25" i="13"/>
  <c r="AO25" i="13"/>
  <c r="AM25" i="13"/>
  <c r="AK25" i="13"/>
  <c r="AI25" i="13"/>
  <c r="AG25" i="13"/>
  <c r="AE25" i="13"/>
  <c r="Y25" i="13"/>
  <c r="W25" i="13"/>
  <c r="S25" i="13"/>
  <c r="Q25" i="13"/>
  <c r="O25" i="13"/>
  <c r="M25" i="13"/>
  <c r="K25" i="13"/>
  <c r="I25" i="13"/>
  <c r="BM24" i="13"/>
  <c r="AS24" i="13"/>
  <c r="AQ24" i="13"/>
  <c r="AO24" i="13"/>
  <c r="AM24" i="13"/>
  <c r="AK24" i="13"/>
  <c r="AI24" i="13"/>
  <c r="AG24" i="13"/>
  <c r="Y24" i="13"/>
  <c r="W24" i="13"/>
  <c r="U24" i="13"/>
  <c r="S24" i="13"/>
  <c r="Q24" i="13"/>
  <c r="O24" i="13"/>
  <c r="M24" i="13"/>
  <c r="K24" i="13"/>
  <c r="I24" i="13"/>
  <c r="BM23" i="13"/>
  <c r="AY23" i="13"/>
  <c r="AS23" i="13"/>
  <c r="AQ23" i="13"/>
  <c r="AO23" i="13"/>
  <c r="AM23" i="13"/>
  <c r="AK23" i="13"/>
  <c r="AI23" i="13"/>
  <c r="AE23" i="13"/>
  <c r="Q23" i="13"/>
  <c r="O23" i="13"/>
  <c r="M23" i="13"/>
  <c r="K23" i="13"/>
  <c r="I23" i="13"/>
  <c r="BM22" i="13"/>
  <c r="AS22" i="13"/>
  <c r="AQ22" i="13"/>
  <c r="AO22" i="13"/>
  <c r="AM22" i="13"/>
  <c r="AK22" i="13"/>
  <c r="AI22" i="13"/>
  <c r="AG22" i="13"/>
  <c r="AE22" i="13"/>
  <c r="Y22" i="13"/>
  <c r="W22" i="13"/>
  <c r="U22" i="13"/>
  <c r="S22" i="13"/>
  <c r="Q22" i="13"/>
  <c r="O22" i="13"/>
  <c r="M22" i="13"/>
  <c r="K22" i="13"/>
  <c r="I22" i="13"/>
  <c r="BM21" i="13"/>
  <c r="BE21" i="13"/>
  <c r="AS21" i="13"/>
  <c r="AQ21" i="13"/>
  <c r="AO21" i="13"/>
  <c r="AM21" i="13"/>
  <c r="AK21" i="13"/>
  <c r="AI21" i="13"/>
  <c r="AG21" i="13"/>
  <c r="AE21" i="13"/>
  <c r="W21" i="13"/>
  <c r="U21" i="13"/>
  <c r="S21" i="13"/>
  <c r="M21" i="13"/>
  <c r="K21" i="13"/>
  <c r="I21" i="13"/>
  <c r="BM20" i="13"/>
  <c r="AY20" i="13"/>
  <c r="AS20" i="13"/>
  <c r="AQ20" i="13"/>
  <c r="AO20" i="13"/>
  <c r="AM20" i="13"/>
  <c r="AK20" i="13"/>
  <c r="AI20" i="13"/>
  <c r="AG20" i="13"/>
  <c r="AE20" i="13"/>
  <c r="AC20" i="13"/>
  <c r="Q20" i="13"/>
  <c r="O20" i="13"/>
  <c r="M20" i="13"/>
  <c r="K20" i="13"/>
  <c r="I20" i="13"/>
  <c r="BM19" i="13"/>
  <c r="AS19" i="13"/>
  <c r="AQ19" i="13"/>
  <c r="AO19" i="13"/>
  <c r="AM19" i="13"/>
  <c r="AE19" i="13"/>
  <c r="AA19" i="13"/>
  <c r="Y19" i="13"/>
  <c r="W19" i="13"/>
  <c r="U19" i="13"/>
  <c r="S19" i="13"/>
  <c r="Q19" i="13"/>
  <c r="O19" i="13"/>
  <c r="M19" i="13"/>
  <c r="K19" i="13"/>
  <c r="I19" i="13"/>
  <c r="BM18" i="13"/>
  <c r="BE18" i="13"/>
  <c r="AY18" i="13"/>
  <c r="AS18" i="13"/>
  <c r="AQ18" i="13"/>
  <c r="AO18" i="13"/>
  <c r="AM18" i="13"/>
  <c r="AK18" i="13"/>
  <c r="AI18" i="13"/>
  <c r="AG18" i="13"/>
  <c r="AC18" i="13"/>
  <c r="Y18" i="13"/>
  <c r="U18" i="13"/>
  <c r="Q18" i="13"/>
  <c r="O18" i="13"/>
  <c r="M18" i="13"/>
  <c r="K18" i="13"/>
  <c r="I18" i="13"/>
  <c r="BM17" i="13"/>
  <c r="AW17" i="13"/>
  <c r="AU17" i="13"/>
  <c r="AS17" i="13"/>
  <c r="AQ17" i="13"/>
  <c r="AO17" i="13"/>
  <c r="AM17" i="13"/>
  <c r="AK17" i="13"/>
  <c r="AI17" i="13"/>
  <c r="AG17" i="13"/>
  <c r="AE17" i="13"/>
  <c r="Y17" i="13"/>
  <c r="W17" i="13"/>
  <c r="U17" i="13"/>
  <c r="S17" i="13"/>
  <c r="M17" i="13"/>
  <c r="K17" i="13"/>
  <c r="I17" i="13"/>
  <c r="BM16" i="13"/>
  <c r="AS16" i="13"/>
  <c r="AQ16" i="13"/>
  <c r="AO16" i="13"/>
  <c r="AM16" i="13"/>
  <c r="AK16" i="13"/>
  <c r="AI16" i="13"/>
  <c r="AG16" i="13"/>
  <c r="AE16" i="13"/>
  <c r="AC16" i="13"/>
  <c r="AA16" i="13"/>
  <c r="Y16" i="13"/>
  <c r="W16" i="13"/>
  <c r="U16" i="13"/>
  <c r="S16" i="13"/>
  <c r="Q16" i="13"/>
  <c r="O16" i="13"/>
  <c r="M16" i="13"/>
  <c r="K16" i="13"/>
  <c r="I16" i="13"/>
  <c r="BM15" i="13"/>
  <c r="AS15" i="13"/>
  <c r="AQ15" i="13"/>
  <c r="AO15" i="13"/>
  <c r="AM15" i="13"/>
  <c r="AK15" i="13"/>
  <c r="AI15" i="13"/>
  <c r="AG15" i="13"/>
  <c r="AE15" i="13"/>
  <c r="Y15" i="13"/>
  <c r="W15" i="13"/>
  <c r="U15" i="13"/>
  <c r="S15" i="13"/>
  <c r="Q15" i="13"/>
  <c r="O15" i="13"/>
  <c r="M15" i="13"/>
  <c r="K15" i="13"/>
  <c r="I15" i="13"/>
  <c r="BM14" i="13"/>
  <c r="AU14" i="13"/>
  <c r="AS14" i="13"/>
  <c r="AQ14" i="13"/>
  <c r="AO14" i="13"/>
  <c r="AM14" i="13"/>
  <c r="AK14" i="13"/>
  <c r="AI14" i="13"/>
  <c r="AG14" i="13"/>
  <c r="AE14" i="13"/>
  <c r="Y14" i="13"/>
  <c r="W14" i="13"/>
  <c r="U14" i="13"/>
  <c r="S14" i="13"/>
  <c r="Q14" i="13"/>
  <c r="O14" i="13"/>
  <c r="M14" i="13"/>
  <c r="K14" i="13"/>
  <c r="I14" i="13"/>
  <c r="BM13" i="13"/>
  <c r="AS13" i="13"/>
  <c r="AQ13" i="13"/>
  <c r="AO13" i="13"/>
  <c r="AM13" i="13"/>
  <c r="AK13" i="13"/>
  <c r="AI13" i="13"/>
  <c r="AG13" i="13"/>
  <c r="AE13" i="13"/>
  <c r="Y13" i="13"/>
  <c r="W13" i="13"/>
  <c r="U13" i="13"/>
  <c r="S13" i="13"/>
  <c r="Q13" i="13"/>
  <c r="O13" i="13"/>
  <c r="M13" i="13"/>
  <c r="K13" i="13"/>
  <c r="I13" i="13"/>
  <c r="BM12" i="13"/>
  <c r="AS12" i="13"/>
  <c r="AQ12" i="13"/>
  <c r="AO12" i="13"/>
  <c r="AM12" i="13"/>
  <c r="AK12" i="13"/>
  <c r="AI12" i="13"/>
  <c r="AG12" i="13"/>
  <c r="AE12" i="13"/>
  <c r="AA12" i="13"/>
  <c r="Y12" i="13"/>
  <c r="W12" i="13"/>
  <c r="U12" i="13"/>
  <c r="S12" i="13"/>
  <c r="Q12" i="13"/>
  <c r="O12" i="13"/>
  <c r="M12" i="13"/>
  <c r="K12" i="13"/>
  <c r="I12" i="13"/>
  <c r="BM11" i="13"/>
  <c r="AS11" i="13"/>
  <c r="AQ11" i="13"/>
  <c r="AO11" i="13"/>
  <c r="AM11" i="13"/>
  <c r="AK11" i="13"/>
  <c r="AI11" i="13"/>
  <c r="AG11" i="13"/>
  <c r="AE11" i="13"/>
  <c r="AC11" i="13"/>
  <c r="AA11" i="13"/>
  <c r="Y11" i="13"/>
  <c r="W11" i="13"/>
  <c r="U11" i="13"/>
  <c r="S11" i="13"/>
  <c r="Q11" i="13"/>
  <c r="O11" i="13"/>
  <c r="M11" i="13"/>
  <c r="K11" i="13"/>
  <c r="I11" i="13"/>
  <c r="BM10" i="13"/>
  <c r="AS10" i="13"/>
  <c r="AQ10" i="13"/>
  <c r="AO10" i="13"/>
  <c r="AM10" i="13"/>
  <c r="AK10" i="13"/>
  <c r="AI10" i="13"/>
  <c r="AG10" i="13"/>
  <c r="AE10" i="13"/>
  <c r="AA10" i="13"/>
  <c r="Y10" i="13"/>
  <c r="W10" i="13"/>
  <c r="U10" i="13"/>
  <c r="S10" i="13"/>
  <c r="Q10" i="13"/>
  <c r="O10" i="13"/>
  <c r="M10" i="13"/>
  <c r="K10" i="13"/>
  <c r="I10" i="13"/>
  <c r="BM9" i="13"/>
  <c r="AW9" i="13"/>
  <c r="AU9" i="13"/>
  <c r="AS9" i="13"/>
  <c r="AQ9" i="13"/>
  <c r="AO9" i="13"/>
  <c r="AM9" i="13"/>
  <c r="AK9" i="13"/>
  <c r="AI9" i="13"/>
  <c r="AG9" i="13"/>
  <c r="AE9" i="13"/>
  <c r="W9" i="13"/>
  <c r="U9" i="13"/>
  <c r="S9" i="13"/>
  <c r="M9" i="13"/>
  <c r="K9" i="13"/>
  <c r="I9" i="13"/>
  <c r="BM8" i="13"/>
  <c r="BA8" i="13"/>
  <c r="AY8" i="13"/>
  <c r="AS8" i="13"/>
  <c r="AQ8" i="13"/>
  <c r="AO8" i="13"/>
  <c r="AM8" i="13"/>
  <c r="AK8" i="13"/>
  <c r="AI8" i="13"/>
  <c r="AG8" i="13"/>
  <c r="Y8" i="13"/>
  <c r="S8" i="13"/>
  <c r="Q8" i="13"/>
  <c r="O8" i="13"/>
  <c r="M8" i="13"/>
  <c r="K8" i="13"/>
  <c r="I8" i="13"/>
  <c r="BM7" i="13"/>
  <c r="AY7" i="13"/>
  <c r="AU7" i="13"/>
  <c r="AS7" i="13"/>
  <c r="AQ7" i="13"/>
  <c r="AO7" i="13"/>
  <c r="AM7" i="13"/>
  <c r="AK7" i="13"/>
  <c r="AI7" i="13"/>
  <c r="AG7" i="13"/>
  <c r="Q7" i="13"/>
  <c r="O7" i="13"/>
  <c r="M7" i="13"/>
  <c r="K7" i="13"/>
  <c r="I7" i="13"/>
  <c r="BM6" i="13"/>
  <c r="AW6" i="13"/>
  <c r="AU6" i="13"/>
  <c r="AS6" i="13"/>
  <c r="AQ6" i="13"/>
  <c r="AO6" i="13"/>
  <c r="AM6" i="13"/>
  <c r="AK6" i="13"/>
  <c r="AI6" i="13"/>
  <c r="AG6" i="13"/>
  <c r="AE6" i="13"/>
  <c r="AC6" i="13"/>
  <c r="AA6" i="13"/>
  <c r="Y6" i="13"/>
  <c r="W6" i="13"/>
  <c r="U6" i="13"/>
  <c r="S6" i="13"/>
  <c r="M6" i="13"/>
  <c r="K6" i="13"/>
  <c r="I6" i="13"/>
  <c r="BP5" i="13"/>
  <c r="BM5" i="13"/>
  <c r="AW5" i="13"/>
  <c r="AU5" i="13"/>
  <c r="AS5" i="13"/>
  <c r="AQ5" i="13"/>
  <c r="AO5" i="13"/>
  <c r="AM5" i="13"/>
  <c r="AK5" i="13"/>
  <c r="AI5" i="13"/>
  <c r="AG5" i="13"/>
  <c r="AE5" i="13"/>
  <c r="Y5" i="13"/>
  <c r="W5" i="13"/>
  <c r="U5" i="13"/>
  <c r="S5" i="13"/>
  <c r="M5" i="13"/>
  <c r="K5" i="13"/>
  <c r="I5" i="13"/>
  <c r="C2" i="13"/>
  <c r="BM100" i="5"/>
  <c r="BM105" i="5"/>
  <c r="BM104" i="5"/>
  <c r="BM103" i="5"/>
  <c r="BM88" i="5"/>
  <c r="BM60" i="5"/>
  <c r="BM102" i="5"/>
  <c r="BM101" i="5"/>
  <c r="BM99" i="5"/>
  <c r="BM98" i="5"/>
  <c r="BM97" i="5"/>
  <c r="BM96" i="5"/>
  <c r="BM95" i="5"/>
  <c r="BM94" i="5"/>
  <c r="BM93" i="5"/>
  <c r="BM89" i="5"/>
  <c r="BM87" i="5"/>
  <c r="BM86" i="5"/>
  <c r="BM85" i="5"/>
  <c r="BM84" i="5"/>
  <c r="BM82" i="5"/>
  <c r="BM71" i="5"/>
  <c r="AM103" i="5" l="1"/>
  <c r="AM104" i="5"/>
  <c r="AM105" i="5"/>
  <c r="AM101" i="5"/>
  <c r="AM102" i="5"/>
  <c r="AM60" i="5"/>
  <c r="AM92" i="5"/>
  <c r="AN92" i="5" s="1"/>
  <c r="AM86" i="5"/>
  <c r="AM87" i="5"/>
  <c r="AM41" i="5"/>
  <c r="AM42" i="5"/>
  <c r="AM43" i="5"/>
  <c r="AM44" i="5"/>
  <c r="AM36" i="5"/>
  <c r="AM6" i="5"/>
  <c r="AM7" i="5"/>
  <c r="AM8" i="5"/>
  <c r="AM9" i="5"/>
  <c r="AM14" i="5"/>
  <c r="AM15" i="5"/>
  <c r="AQ94" i="5"/>
  <c r="AQ88" i="5"/>
  <c r="AQ92" i="5"/>
  <c r="AQ89" i="5"/>
  <c r="AQ103" i="5"/>
  <c r="AQ91" i="5"/>
  <c r="AQ104" i="5"/>
  <c r="AQ97" i="5"/>
  <c r="AQ102" i="5"/>
  <c r="AQ87" i="5"/>
  <c r="AQ96" i="5"/>
  <c r="AQ101" i="5"/>
  <c r="AQ93" i="5"/>
  <c r="AQ86" i="5"/>
  <c r="AQ85" i="5"/>
  <c r="AQ63" i="5"/>
  <c r="AQ82" i="5"/>
  <c r="AQ90" i="5"/>
  <c r="AQ99" i="5"/>
  <c r="AQ98" i="5"/>
  <c r="AQ100" i="5"/>
  <c r="AQ60" i="5"/>
  <c r="AQ84" i="5"/>
  <c r="BM42" i="2"/>
  <c r="AS42" i="2"/>
  <c r="AQ42" i="2"/>
  <c r="AO42" i="2"/>
  <c r="AM42" i="2"/>
  <c r="AK42" i="2"/>
  <c r="AI42" i="2"/>
  <c r="AG42" i="2"/>
  <c r="M42" i="2"/>
  <c r="K42" i="2"/>
  <c r="I42" i="2"/>
  <c r="AG94" i="5"/>
  <c r="AG84" i="5"/>
  <c r="AG85" i="5"/>
  <c r="AG89" i="5"/>
  <c r="AG98" i="5"/>
  <c r="AG99" i="5"/>
  <c r="AG101" i="5"/>
  <c r="AG102" i="5"/>
  <c r="AG60" i="5"/>
  <c r="AG88" i="5"/>
  <c r="AG103" i="5"/>
  <c r="AG104" i="5"/>
  <c r="AG105" i="5"/>
  <c r="Y38" i="5"/>
  <c r="Y39" i="5"/>
  <c r="Y36" i="5"/>
  <c r="Y5" i="5"/>
  <c r="U56" i="5"/>
  <c r="S57" i="5"/>
  <c r="S58" i="5"/>
  <c r="S52" i="5"/>
  <c r="S53" i="5"/>
  <c r="S54" i="5"/>
  <c r="S55" i="5"/>
  <c r="S56" i="5"/>
  <c r="S50" i="5"/>
  <c r="S51" i="5"/>
  <c r="S49" i="5"/>
  <c r="S47" i="5"/>
  <c r="S45" i="5"/>
  <c r="S37" i="5"/>
  <c r="S38" i="5"/>
  <c r="S39" i="5"/>
  <c r="S35" i="5"/>
  <c r="S36" i="5"/>
  <c r="S34" i="5"/>
  <c r="S22" i="5"/>
  <c r="S21" i="5"/>
  <c r="S24" i="5"/>
  <c r="S25" i="5"/>
  <c r="S26" i="5"/>
  <c r="S27" i="5"/>
  <c r="S28" i="5"/>
  <c r="S29" i="5"/>
  <c r="S31" i="5"/>
  <c r="AK82" i="5"/>
  <c r="AK84" i="5"/>
  <c r="AK85" i="5"/>
  <c r="AK86" i="5"/>
  <c r="AK87" i="5"/>
  <c r="AK89" i="5"/>
  <c r="AK92" i="5"/>
  <c r="AK93" i="5"/>
  <c r="AK94" i="5"/>
  <c r="AK95" i="5"/>
  <c r="AK96" i="5"/>
  <c r="AK97" i="5"/>
  <c r="AK98" i="5"/>
  <c r="AK99" i="5"/>
  <c r="AK101" i="5"/>
  <c r="AK102" i="5"/>
  <c r="AK60" i="5"/>
  <c r="AK88" i="5"/>
  <c r="AK103" i="5"/>
  <c r="AK104" i="5"/>
  <c r="AK105" i="5"/>
  <c r="AK63" i="5"/>
  <c r="AK14" i="5"/>
  <c r="AK15" i="5"/>
  <c r="AK11" i="5"/>
  <c r="AK12" i="5"/>
  <c r="S41" i="5"/>
  <c r="I60" i="5"/>
  <c r="I88" i="5"/>
  <c r="I103" i="5"/>
  <c r="I102" i="5"/>
  <c r="I99" i="5"/>
  <c r="I98" i="5"/>
  <c r="I95" i="5"/>
  <c r="I94" i="5"/>
  <c r="I89" i="5"/>
  <c r="I84" i="5"/>
  <c r="AO41" i="2"/>
  <c r="AI41" i="2"/>
  <c r="AG41" i="2"/>
  <c r="M41" i="2"/>
  <c r="I41" i="2"/>
  <c r="I63" i="5"/>
  <c r="I96" i="5"/>
  <c r="BM40" i="2"/>
  <c r="AO40" i="2"/>
  <c r="AI40" i="2"/>
  <c r="AG40" i="2"/>
  <c r="K40" i="2"/>
  <c r="I40" i="2"/>
  <c r="M60" i="5"/>
  <c r="M88" i="5"/>
  <c r="M103" i="5"/>
  <c r="M104" i="5"/>
  <c r="M105" i="5"/>
  <c r="M84" i="5"/>
  <c r="M85" i="5"/>
  <c r="M86" i="5"/>
  <c r="M87" i="5"/>
  <c r="M89" i="5"/>
  <c r="M92" i="5"/>
  <c r="M93" i="5"/>
  <c r="M94" i="5"/>
  <c r="M95" i="5"/>
  <c r="M96" i="5"/>
  <c r="M97" i="5"/>
  <c r="M98" i="5"/>
  <c r="M99" i="5"/>
  <c r="M101" i="5"/>
  <c r="M102" i="5"/>
  <c r="M82" i="5"/>
  <c r="M63" i="5"/>
  <c r="M12" i="5"/>
  <c r="M13" i="5"/>
  <c r="M14" i="5"/>
  <c r="M15" i="5"/>
  <c r="O42" i="5"/>
  <c r="AI97" i="5"/>
  <c r="I97" i="5"/>
  <c r="AG97" i="5"/>
  <c r="AO97" i="5"/>
  <c r="AI89" i="5"/>
  <c r="AI84" i="5"/>
  <c r="AI85" i="5"/>
  <c r="I85" i="5"/>
  <c r="AO85" i="5"/>
  <c r="AI102" i="5"/>
  <c r="AO102" i="5"/>
  <c r="AI98" i="5"/>
  <c r="AO98" i="5"/>
  <c r="AI99" i="5"/>
  <c r="AO99" i="5"/>
  <c r="AI95" i="5"/>
  <c r="AI94" i="5"/>
  <c r="AG95" i="5"/>
  <c r="AO95" i="5"/>
  <c r="AG31" i="5"/>
  <c r="AI31" i="5"/>
  <c r="AK31" i="5"/>
  <c r="AG30" i="5"/>
  <c r="AI30" i="5"/>
  <c r="AK30" i="5"/>
  <c r="AG29" i="5"/>
  <c r="AK29" i="5"/>
  <c r="AI29" i="5"/>
  <c r="AI28" i="5" l="1"/>
  <c r="AG28" i="5"/>
  <c r="BC28" i="5"/>
  <c r="AG26" i="5"/>
  <c r="AK26" i="5"/>
  <c r="AI26" i="5"/>
  <c r="AK25" i="5"/>
  <c r="AI25" i="5"/>
  <c r="AG25" i="5"/>
  <c r="AG22" i="5"/>
  <c r="AI22" i="5"/>
  <c r="AK22" i="5"/>
  <c r="I110" i="5"/>
  <c r="M110" i="5"/>
  <c r="AG110" i="5"/>
  <c r="AI110" i="5"/>
  <c r="AO110" i="5"/>
  <c r="AG21" i="5"/>
  <c r="AI21" i="5"/>
  <c r="AC20" i="5"/>
  <c r="AE20" i="5"/>
  <c r="AG20" i="5"/>
  <c r="AI20" i="5"/>
  <c r="BM65" i="5"/>
  <c r="BG30" i="5"/>
  <c r="BG38" i="5"/>
  <c r="BG40" i="5"/>
  <c r="BI46" i="5"/>
  <c r="BI81" i="5"/>
  <c r="BC35" i="5"/>
  <c r="AS35" i="5"/>
  <c r="BG33" i="5"/>
  <c r="BC33" i="5"/>
  <c r="BC31" i="5"/>
  <c r="BC30" i="5"/>
  <c r="BE18" i="5"/>
  <c r="BA8" i="5"/>
  <c r="AE79" i="5"/>
  <c r="AE78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59" i="5"/>
  <c r="AE58" i="5"/>
  <c r="AE57" i="5"/>
  <c r="AE56" i="5"/>
  <c r="AE53" i="5"/>
  <c r="AE40" i="5"/>
  <c r="AE39" i="5"/>
  <c r="AE38" i="5"/>
  <c r="AE36" i="5"/>
  <c r="AE35" i="5"/>
  <c r="AE34" i="5"/>
  <c r="AE33" i="5"/>
  <c r="AE31" i="5"/>
  <c r="AE29" i="5"/>
  <c r="AE28" i="5"/>
  <c r="AE27" i="5"/>
  <c r="AE26" i="5"/>
  <c r="AE25" i="5"/>
  <c r="AE23" i="5"/>
  <c r="AE22" i="5"/>
  <c r="AE21" i="5"/>
  <c r="AE19" i="5"/>
  <c r="AE17" i="5"/>
  <c r="AE16" i="5"/>
  <c r="AE15" i="5"/>
  <c r="AE14" i="5"/>
  <c r="AE13" i="5"/>
  <c r="AE12" i="5"/>
  <c r="AE11" i="5"/>
  <c r="AE10" i="5"/>
  <c r="AE9" i="5"/>
  <c r="AI6" i="5"/>
  <c r="AE6" i="5"/>
  <c r="AE5" i="5"/>
  <c r="AC81" i="5"/>
  <c r="AC80" i="5"/>
  <c r="AA81" i="5"/>
  <c r="AA80" i="5"/>
  <c r="Y81" i="5"/>
  <c r="Y80" i="5"/>
  <c r="W81" i="5"/>
  <c r="W80" i="5"/>
  <c r="AC79" i="5"/>
  <c r="AC78" i="5"/>
  <c r="AA79" i="5"/>
  <c r="AA78" i="5"/>
  <c r="Y79" i="5"/>
  <c r="Y78" i="5"/>
  <c r="W79" i="5"/>
  <c r="W78" i="5"/>
  <c r="AC76" i="5"/>
  <c r="AC75" i="5"/>
  <c r="AC74" i="5"/>
  <c r="AC73" i="5"/>
  <c r="Y76" i="5"/>
  <c r="Y75" i="5"/>
  <c r="Y74" i="5"/>
  <c r="Y73" i="5"/>
  <c r="W76" i="5"/>
  <c r="W75" i="5"/>
  <c r="W74" i="5"/>
  <c r="W73" i="5"/>
  <c r="AC72" i="5"/>
  <c r="AC71" i="5"/>
  <c r="AC70" i="5"/>
  <c r="AC69" i="5"/>
  <c r="AA72" i="5"/>
  <c r="AA71" i="5"/>
  <c r="AA70" i="5"/>
  <c r="AA69" i="5"/>
  <c r="Y72" i="5"/>
  <c r="Y71" i="5"/>
  <c r="Y70" i="5"/>
  <c r="Y69" i="5"/>
  <c r="W72" i="5"/>
  <c r="W71" i="5"/>
  <c r="W70" i="5"/>
  <c r="W69" i="5"/>
  <c r="AC68" i="5"/>
  <c r="AC67" i="5"/>
  <c r="AC66" i="5"/>
  <c r="AC65" i="5"/>
  <c r="AA68" i="5"/>
  <c r="AA67" i="5"/>
  <c r="AA66" i="5"/>
  <c r="AA65" i="5"/>
  <c r="Y68" i="5"/>
  <c r="Y67" i="5"/>
  <c r="Y66" i="5"/>
  <c r="Y65" i="5"/>
  <c r="W68" i="5"/>
  <c r="W67" i="5"/>
  <c r="W66" i="5"/>
  <c r="W65" i="5"/>
  <c r="AC64" i="5"/>
  <c r="AC63" i="5"/>
  <c r="AC62" i="5"/>
  <c r="AA64" i="5"/>
  <c r="AA63" i="5"/>
  <c r="AA62" i="5"/>
  <c r="Y64" i="5"/>
  <c r="Y63" i="5"/>
  <c r="Y62" i="5"/>
  <c r="W64" i="5"/>
  <c r="W63" i="5"/>
  <c r="W62" i="5"/>
  <c r="AC61" i="5"/>
  <c r="AC59" i="5"/>
  <c r="AC58" i="5"/>
  <c r="AA61" i="5"/>
  <c r="AA59" i="5"/>
  <c r="AA58" i="5"/>
  <c r="Y61" i="5"/>
  <c r="Y59" i="5"/>
  <c r="Y58" i="5"/>
  <c r="W61" i="5"/>
  <c r="W59" i="5"/>
  <c r="W58" i="5"/>
  <c r="AC57" i="5"/>
  <c r="AC56" i="5"/>
  <c r="AA57" i="5"/>
  <c r="AA56" i="5"/>
  <c r="Y56" i="5"/>
  <c r="W57" i="5"/>
  <c r="W56" i="5"/>
  <c r="Y55" i="5"/>
  <c r="Y54" i="5"/>
  <c r="Y53" i="5"/>
  <c r="W54" i="5"/>
  <c r="W53" i="5"/>
  <c r="AC52" i="5"/>
  <c r="AC51" i="5"/>
  <c r="Y52" i="5"/>
  <c r="Y51" i="5"/>
  <c r="W52" i="5"/>
  <c r="W51" i="5"/>
  <c r="AC50" i="5"/>
  <c r="Y50" i="5"/>
  <c r="AC49" i="5"/>
  <c r="W49" i="5"/>
  <c r="Y49" i="5"/>
  <c r="Y48" i="5"/>
  <c r="Y47" i="5"/>
  <c r="AC46" i="5"/>
  <c r="Y46" i="5"/>
  <c r="Y44" i="5"/>
  <c r="W44" i="5"/>
  <c r="Y43" i="5"/>
  <c r="W43" i="5"/>
  <c r="Y42" i="5"/>
  <c r="W42" i="5"/>
  <c r="W41" i="5"/>
  <c r="Y41" i="5"/>
  <c r="Y40" i="5"/>
  <c r="AA39" i="5"/>
  <c r="W39" i="5"/>
  <c r="AA36" i="5"/>
  <c r="W36" i="5"/>
  <c r="AA35" i="5"/>
  <c r="W35" i="5"/>
  <c r="Y34" i="5"/>
  <c r="W34" i="5"/>
  <c r="Y33" i="5"/>
  <c r="Y31" i="5"/>
  <c r="Y30" i="5"/>
  <c r="AA29" i="5"/>
  <c r="W28" i="5"/>
  <c r="AA27" i="5"/>
  <c r="AA26" i="5"/>
  <c r="AA19" i="5"/>
  <c r="AA16" i="5"/>
  <c r="Y17" i="5"/>
  <c r="W17" i="5"/>
  <c r="AC11" i="5"/>
  <c r="AA12" i="5"/>
  <c r="AA11" i="5"/>
  <c r="AA10" i="5"/>
  <c r="AA6" i="5"/>
  <c r="Y13" i="5"/>
  <c r="Y12" i="5"/>
  <c r="W13" i="5"/>
  <c r="W12" i="5"/>
  <c r="Y10" i="5"/>
  <c r="W10" i="5"/>
  <c r="W9" i="5"/>
  <c r="U80" i="5"/>
  <c r="U79" i="5"/>
  <c r="U78" i="5"/>
  <c r="U76" i="5"/>
  <c r="U75" i="5"/>
  <c r="U73" i="5"/>
  <c r="U71" i="5"/>
  <c r="U69" i="5"/>
  <c r="U68" i="5"/>
  <c r="U66" i="5"/>
  <c r="U65" i="5"/>
  <c r="U64" i="5"/>
  <c r="U62" i="5"/>
  <c r="U59" i="5"/>
  <c r="U61" i="5"/>
  <c r="U58" i="5"/>
  <c r="U57" i="5"/>
  <c r="U55" i="5"/>
  <c r="U52" i="5"/>
  <c r="U51" i="5"/>
  <c r="U49" i="5"/>
  <c r="U48" i="5"/>
  <c r="U47" i="5"/>
  <c r="U46" i="5"/>
  <c r="U44" i="5"/>
  <c r="U43" i="5"/>
  <c r="U42" i="5"/>
  <c r="U41" i="5"/>
  <c r="U40" i="5"/>
  <c r="U39" i="5"/>
  <c r="U38" i="5"/>
  <c r="U36" i="5"/>
  <c r="U35" i="5"/>
  <c r="U34" i="5"/>
  <c r="U33" i="5"/>
  <c r="U32" i="5"/>
  <c r="U30" i="5"/>
  <c r="U15" i="5"/>
  <c r="U5" i="5"/>
  <c r="S6" i="5"/>
  <c r="S5" i="5"/>
  <c r="Q63" i="5"/>
  <c r="Q62" i="5"/>
  <c r="Q61" i="5"/>
  <c r="Q59" i="5"/>
  <c r="Q58" i="5"/>
  <c r="Q57" i="5"/>
  <c r="Q56" i="5"/>
  <c r="Q55" i="5"/>
  <c r="Q54" i="5"/>
  <c r="Q52" i="5"/>
  <c r="Q51" i="5"/>
  <c r="Q50" i="5"/>
  <c r="Q49" i="5"/>
  <c r="Q48" i="5"/>
  <c r="Q47" i="5"/>
  <c r="Q45" i="5"/>
  <c r="Q44" i="5"/>
  <c r="Q43" i="5"/>
  <c r="Q42" i="5"/>
  <c r="Q41" i="5"/>
  <c r="Q40" i="5"/>
  <c r="Q39" i="5"/>
  <c r="Q37" i="5"/>
  <c r="Q36" i="5"/>
  <c r="Q35" i="5"/>
  <c r="Q34" i="5"/>
  <c r="Q31" i="5"/>
  <c r="Q30" i="5"/>
  <c r="Q29" i="5"/>
  <c r="Q28" i="5"/>
  <c r="Q27" i="5"/>
  <c r="Q26" i="5"/>
  <c r="Q25" i="5"/>
  <c r="Q24" i="5"/>
  <c r="Q23" i="5"/>
  <c r="Q22" i="5"/>
  <c r="Q20" i="5"/>
  <c r="Q19" i="5"/>
  <c r="Q18" i="5"/>
  <c r="Q16" i="5"/>
  <c r="Q15" i="5"/>
  <c r="Q14" i="5"/>
  <c r="Q13" i="5"/>
  <c r="Q12" i="5"/>
  <c r="Q11" i="5"/>
  <c r="Q10" i="5"/>
  <c r="Q8" i="5"/>
  <c r="O8" i="5"/>
  <c r="AW5" i="5"/>
  <c r="AU5" i="5"/>
  <c r="AO94" i="5"/>
  <c r="AO89" i="5"/>
  <c r="AO84" i="5"/>
  <c r="K84" i="5"/>
  <c r="AS57" i="5"/>
  <c r="AO9" i="5"/>
  <c r="BM28" i="5"/>
  <c r="BM29" i="5"/>
  <c r="BM30" i="5"/>
  <c r="BM31" i="5"/>
  <c r="BM24" i="5"/>
  <c r="BM25" i="5"/>
  <c r="BM26" i="5"/>
  <c r="BM27" i="5"/>
  <c r="BM21" i="5"/>
  <c r="BM22" i="5"/>
  <c r="BM23" i="5"/>
  <c r="BM18" i="5"/>
  <c r="BM19" i="5"/>
  <c r="BM20" i="5"/>
  <c r="BM13" i="5"/>
  <c r="BM14" i="5"/>
  <c r="BM15" i="5"/>
  <c r="BM16" i="5"/>
  <c r="BM17" i="5"/>
  <c r="BM9" i="5"/>
  <c r="BM10" i="5"/>
  <c r="BM11" i="5"/>
  <c r="BM7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1" i="5"/>
  <c r="BM62" i="5"/>
  <c r="BM63" i="5"/>
  <c r="BM64" i="5"/>
  <c r="BM66" i="5"/>
  <c r="BM67" i="5"/>
  <c r="BM68" i="5"/>
  <c r="BM69" i="5"/>
  <c r="BM70" i="5"/>
  <c r="BM72" i="5"/>
  <c r="BM73" i="5"/>
  <c r="BM74" i="5"/>
  <c r="BM75" i="5"/>
  <c r="BM76" i="5"/>
  <c r="BM78" i="5"/>
  <c r="BM79" i="5"/>
  <c r="BM80" i="5"/>
  <c r="BM81" i="5"/>
  <c r="BM92" i="5"/>
  <c r="BM32" i="5"/>
  <c r="BM12" i="5"/>
  <c r="BP5" i="5"/>
  <c r="BM8" i="5"/>
  <c r="BM5" i="5"/>
  <c r="BM6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8" i="5"/>
  <c r="AS59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8" i="5"/>
  <c r="AS79" i="5"/>
  <c r="AS80" i="5"/>
  <c r="AS81" i="5"/>
  <c r="AS82" i="5"/>
  <c r="AS86" i="5"/>
  <c r="AS87" i="5"/>
  <c r="AS92" i="5"/>
  <c r="AS93" i="5"/>
  <c r="AS96" i="5"/>
  <c r="AS101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1" i="5"/>
  <c r="AQ62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8" i="5"/>
  <c r="AQ79" i="5"/>
  <c r="AQ80" i="5"/>
  <c r="AQ81" i="5"/>
  <c r="AO93" i="5"/>
  <c r="AO96" i="5"/>
  <c r="AO101" i="5"/>
  <c r="AO81" i="5"/>
  <c r="AO82" i="5"/>
  <c r="AO86" i="5"/>
  <c r="AO87" i="5"/>
  <c r="AO92" i="5"/>
  <c r="AO76" i="5"/>
  <c r="AO78" i="5"/>
  <c r="AO79" i="5"/>
  <c r="AO80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1" i="5"/>
  <c r="AK62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8" i="5"/>
  <c r="AK79" i="5"/>
  <c r="AK80" i="5"/>
  <c r="AK81" i="5"/>
  <c r="AK23" i="5"/>
  <c r="AK5" i="5"/>
  <c r="AK6" i="5"/>
  <c r="AK7" i="5"/>
  <c r="AK8" i="5"/>
  <c r="AK9" i="5"/>
  <c r="AI78" i="5"/>
  <c r="AI79" i="5"/>
  <c r="AI80" i="5"/>
  <c r="AI81" i="5"/>
  <c r="AI82" i="5"/>
  <c r="AI86" i="5"/>
  <c r="AI87" i="5"/>
  <c r="AI92" i="5"/>
  <c r="AI93" i="5"/>
  <c r="AI96" i="5"/>
  <c r="AI10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23" i="5"/>
  <c r="AI8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8" i="5"/>
  <c r="AG79" i="5"/>
  <c r="AG80" i="5"/>
  <c r="AG81" i="5"/>
  <c r="AG82" i="5"/>
  <c r="AG86" i="5"/>
  <c r="AG87" i="5"/>
  <c r="AG92" i="5"/>
  <c r="AG93" i="5"/>
  <c r="AG96" i="5"/>
  <c r="AG7" i="5"/>
  <c r="AG8" i="5"/>
  <c r="AG9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1" i="5"/>
  <c r="M62" i="5"/>
  <c r="M64" i="5"/>
  <c r="M65" i="5"/>
  <c r="M66" i="5"/>
  <c r="M67" i="5"/>
  <c r="M68" i="5"/>
  <c r="M69" i="5"/>
  <c r="M70" i="5"/>
  <c r="M71" i="5"/>
  <c r="M72" i="5"/>
  <c r="M74" i="5"/>
  <c r="M75" i="5"/>
  <c r="M76" i="5"/>
  <c r="M78" i="5"/>
  <c r="M79" i="5"/>
  <c r="M80" i="5"/>
  <c r="M81" i="5"/>
  <c r="M5" i="5"/>
  <c r="M6" i="5"/>
  <c r="M7" i="5"/>
  <c r="M8" i="5"/>
  <c r="M9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1" i="5"/>
  <c r="K62" i="5"/>
  <c r="K63" i="5"/>
  <c r="K64" i="5"/>
  <c r="K65" i="5"/>
  <c r="K66" i="5"/>
  <c r="K67" i="5"/>
  <c r="K68" i="5"/>
  <c r="K69" i="5"/>
  <c r="K70" i="5"/>
  <c r="K71" i="5"/>
  <c r="K72" i="5"/>
  <c r="K74" i="5"/>
  <c r="K75" i="5"/>
  <c r="K76" i="5"/>
  <c r="K78" i="5"/>
  <c r="K79" i="5"/>
  <c r="K80" i="5"/>
  <c r="K81" i="5"/>
  <c r="K82" i="5"/>
  <c r="K86" i="5"/>
  <c r="K87" i="5"/>
  <c r="K92" i="5"/>
  <c r="K93" i="5"/>
  <c r="K96" i="5"/>
  <c r="K101" i="5"/>
  <c r="K33" i="5"/>
  <c r="K34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8" i="5"/>
  <c r="I79" i="5"/>
  <c r="I80" i="5"/>
  <c r="I81" i="5"/>
  <c r="I82" i="5"/>
  <c r="I86" i="5"/>
  <c r="I87" i="5"/>
  <c r="I92" i="5"/>
  <c r="I93" i="5"/>
  <c r="I101" i="5"/>
  <c r="I8" i="5"/>
  <c r="I9" i="5"/>
  <c r="I7" i="5"/>
  <c r="AM93" i="5"/>
  <c r="AM96" i="5"/>
  <c r="AM78" i="5"/>
  <c r="AM34" i="5"/>
  <c r="AO32" i="5"/>
  <c r="AO33" i="5"/>
  <c r="AO34" i="5"/>
  <c r="AO23" i="5"/>
  <c r="AO6" i="5"/>
  <c r="AO7" i="5"/>
  <c r="AM52" i="5"/>
  <c r="AM53" i="5"/>
  <c r="AM55" i="5"/>
  <c r="AM46" i="5"/>
  <c r="AM47" i="5"/>
  <c r="AM40" i="5"/>
  <c r="AM37" i="5"/>
  <c r="AM38" i="5"/>
  <c r="AM33" i="5"/>
  <c r="AM32" i="5"/>
  <c r="AM30" i="5"/>
  <c r="AM26" i="5"/>
  <c r="AM25" i="5"/>
  <c r="AM20" i="5"/>
  <c r="AM21" i="5"/>
  <c r="AM22" i="5"/>
  <c r="AM18" i="5"/>
  <c r="AM17" i="5"/>
  <c r="AM5" i="5"/>
  <c r="AO37" i="5"/>
  <c r="AO28" i="5"/>
  <c r="AO29" i="5"/>
  <c r="AO30" i="5"/>
  <c r="AO31" i="5"/>
  <c r="AO24" i="5"/>
  <c r="AO25" i="5"/>
  <c r="AO26" i="5"/>
  <c r="AO27" i="5"/>
  <c r="AO19" i="5"/>
  <c r="AO20" i="5"/>
  <c r="AO21" i="5"/>
  <c r="AO22" i="5"/>
  <c r="AO16" i="5"/>
  <c r="AO17" i="5"/>
  <c r="AO18" i="5"/>
  <c r="AM16" i="5"/>
  <c r="AK16" i="5"/>
  <c r="AK17" i="5"/>
  <c r="AK18" i="5"/>
  <c r="AI15" i="5"/>
  <c r="AI16" i="5"/>
  <c r="AI17" i="5"/>
  <c r="AI18" i="5"/>
  <c r="AG15" i="5"/>
  <c r="AG16" i="5"/>
  <c r="AG17" i="5"/>
  <c r="AG18" i="5"/>
  <c r="AG11" i="5"/>
  <c r="AG12" i="5"/>
  <c r="AG13" i="5"/>
  <c r="AG14" i="5"/>
  <c r="AI11" i="5"/>
  <c r="AI12" i="5"/>
  <c r="AI13" i="5"/>
  <c r="AI14" i="5"/>
  <c r="AK10" i="5"/>
  <c r="AK13" i="5"/>
  <c r="AO11" i="5"/>
  <c r="AI9" i="5"/>
  <c r="AO8" i="5"/>
  <c r="AG5" i="5"/>
  <c r="W29" i="5"/>
  <c r="Y29" i="5"/>
  <c r="Y27" i="5"/>
  <c r="Y28" i="5"/>
  <c r="W27" i="5"/>
  <c r="Y24" i="5"/>
  <c r="Y25" i="5"/>
  <c r="W24" i="5"/>
  <c r="W25" i="5"/>
  <c r="Y22" i="5"/>
  <c r="W21" i="5"/>
  <c r="W19" i="5"/>
  <c r="Y19" i="5"/>
  <c r="Y18" i="5"/>
  <c r="Y8" i="5"/>
  <c r="Y6" i="5"/>
  <c r="Y14" i="5"/>
  <c r="Y15" i="5"/>
  <c r="Y16" i="5"/>
  <c r="W14" i="5"/>
  <c r="W15" i="5"/>
  <c r="W16" i="5"/>
  <c r="W11" i="5"/>
  <c r="U9" i="5"/>
  <c r="U11" i="5"/>
  <c r="U12" i="5"/>
  <c r="U13" i="5"/>
  <c r="U14" i="5"/>
  <c r="W5" i="5"/>
  <c r="W6" i="5"/>
  <c r="U6" i="5"/>
  <c r="O31" i="5"/>
  <c r="O28" i="5"/>
  <c r="O29" i="5"/>
  <c r="O22" i="5"/>
  <c r="O23" i="5"/>
  <c r="O24" i="5"/>
  <c r="O25" i="5"/>
  <c r="O26" i="5"/>
  <c r="O27" i="5"/>
  <c r="O19" i="5"/>
  <c r="O20" i="5"/>
  <c r="O18" i="5"/>
  <c r="O11" i="5"/>
  <c r="O12" i="5"/>
  <c r="O13" i="5"/>
  <c r="O14" i="5"/>
  <c r="O15" i="5"/>
  <c r="O16" i="5"/>
  <c r="M32" i="5"/>
  <c r="M29" i="5"/>
  <c r="M30" i="5"/>
  <c r="M31" i="5"/>
  <c r="M24" i="5"/>
  <c r="M25" i="5"/>
  <c r="M26" i="5"/>
  <c r="M27" i="5"/>
  <c r="M28" i="5"/>
  <c r="M19" i="5"/>
  <c r="M20" i="5"/>
  <c r="M21" i="5"/>
  <c r="M22" i="5"/>
  <c r="M23" i="5"/>
  <c r="M17" i="5"/>
  <c r="M18" i="5"/>
  <c r="M11" i="5"/>
  <c r="M16" i="5"/>
  <c r="K30" i="5"/>
  <c r="K31" i="5"/>
  <c r="K32" i="5"/>
  <c r="K24" i="5"/>
  <c r="K25" i="5"/>
  <c r="K26" i="5"/>
  <c r="K27" i="5"/>
  <c r="K28" i="5"/>
  <c r="K29" i="5"/>
  <c r="K19" i="5"/>
  <c r="K20" i="5"/>
  <c r="K21" i="5"/>
  <c r="K22" i="5"/>
  <c r="K23" i="5"/>
  <c r="K15" i="5"/>
  <c r="K16" i="5"/>
  <c r="K17" i="5"/>
  <c r="K18" i="5"/>
  <c r="K11" i="5"/>
  <c r="K12" i="5"/>
  <c r="K13" i="5"/>
  <c r="K14" i="5"/>
  <c r="I32" i="5"/>
  <c r="I29" i="5"/>
  <c r="I30" i="5"/>
  <c r="I31" i="5"/>
  <c r="I26" i="5"/>
  <c r="I27" i="5"/>
  <c r="I28" i="5"/>
  <c r="I21" i="5"/>
  <c r="I22" i="5"/>
  <c r="I23" i="5"/>
  <c r="I24" i="5"/>
  <c r="I25" i="5"/>
  <c r="I19" i="5"/>
  <c r="I20" i="5"/>
  <c r="I16" i="5"/>
  <c r="I17" i="5"/>
  <c r="I18" i="5"/>
  <c r="I11" i="5"/>
  <c r="I12" i="5"/>
  <c r="I13" i="5"/>
  <c r="I14" i="5"/>
  <c r="I15" i="5"/>
  <c r="I10" i="5"/>
  <c r="AI10" i="5"/>
  <c r="AG10" i="5"/>
  <c r="AI7" i="5"/>
  <c r="AG6" i="5"/>
  <c r="AI5" i="5"/>
  <c r="U26" i="5"/>
  <c r="U27" i="5"/>
  <c r="U24" i="5"/>
  <c r="U22" i="5"/>
  <c r="U21" i="5"/>
  <c r="U16" i="5"/>
  <c r="U17" i="5"/>
  <c r="U18" i="5"/>
  <c r="U19" i="5"/>
  <c r="O10" i="5"/>
  <c r="M10" i="5"/>
  <c r="K9" i="5"/>
  <c r="K10" i="5"/>
  <c r="K8" i="5"/>
  <c r="K5" i="5"/>
  <c r="K6" i="5"/>
  <c r="I5" i="5"/>
  <c r="I6" i="5"/>
  <c r="K7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38" i="5"/>
  <c r="AO39" i="5"/>
  <c r="AO36" i="5"/>
  <c r="AO35" i="5"/>
  <c r="AO14" i="5"/>
  <c r="AO15" i="5"/>
  <c r="AO12" i="5"/>
  <c r="AO13" i="5"/>
  <c r="AO5" i="5"/>
  <c r="AO10" i="5"/>
  <c r="H38" i="2"/>
  <c r="J38" i="2"/>
  <c r="L38" i="2"/>
  <c r="N38" i="2"/>
  <c r="P38" i="2"/>
  <c r="R38" i="2"/>
  <c r="T38" i="2"/>
  <c r="V38" i="2"/>
  <c r="X38" i="2"/>
  <c r="AB38" i="2"/>
  <c r="AD38" i="2"/>
  <c r="AF38" i="2"/>
  <c r="AH38" i="2"/>
  <c r="AJ38" i="2"/>
  <c r="AL38" i="2"/>
  <c r="AN38" i="2"/>
  <c r="AP38" i="2"/>
  <c r="AR38" i="2"/>
  <c r="BL38" i="2"/>
  <c r="I104" i="5"/>
  <c r="I105" i="5"/>
  <c r="I100" i="5"/>
  <c r="I90" i="5"/>
  <c r="I91" i="5"/>
  <c r="I106" i="5"/>
  <c r="I107" i="5"/>
  <c r="I108" i="5"/>
  <c r="I109" i="5"/>
  <c r="M100" i="5"/>
  <c r="M90" i="5"/>
  <c r="M91" i="5"/>
  <c r="M106" i="5"/>
  <c r="M107" i="5"/>
  <c r="M108" i="5"/>
  <c r="M109" i="5"/>
  <c r="AG100" i="5"/>
  <c r="AG90" i="5"/>
  <c r="AG91" i="5"/>
  <c r="AG106" i="5"/>
  <c r="AG107" i="5"/>
  <c r="AG108" i="5"/>
  <c r="AG109" i="5"/>
  <c r="AI100" i="5"/>
  <c r="AI90" i="5"/>
  <c r="AI91" i="5"/>
  <c r="AI106" i="5"/>
  <c r="AI107" i="5"/>
  <c r="AI108" i="5"/>
  <c r="AI109" i="5"/>
  <c r="AO60" i="5"/>
  <c r="AO88" i="5"/>
  <c r="AO103" i="5"/>
  <c r="AO104" i="5"/>
  <c r="AO105" i="5"/>
  <c r="AO100" i="5"/>
  <c r="AO90" i="5"/>
  <c r="AO91" i="5"/>
  <c r="AO106" i="5"/>
  <c r="AO107" i="5"/>
  <c r="AO108" i="5"/>
  <c r="AO109" i="5"/>
  <c r="BL37" i="2"/>
  <c r="AR37" i="2"/>
  <c r="AP37" i="2"/>
  <c r="AN37" i="2"/>
  <c r="AL37" i="2"/>
  <c r="AJ37" i="2"/>
  <c r="AF37" i="2"/>
  <c r="AB37" i="2"/>
  <c r="R37" i="2"/>
  <c r="H37" i="2"/>
  <c r="BL36" i="2"/>
  <c r="AR36" i="2"/>
  <c r="AP36" i="2"/>
  <c r="AN36" i="2"/>
  <c r="AL36" i="2"/>
  <c r="AJ36" i="2"/>
  <c r="AF36" i="2"/>
  <c r="AD36" i="2"/>
  <c r="AB36" i="2"/>
  <c r="R36" i="2"/>
  <c r="H36" i="2"/>
  <c r="BL35" i="2"/>
  <c r="AR35" i="2"/>
  <c r="AP35" i="2"/>
  <c r="AN35" i="2"/>
  <c r="AJ35" i="2"/>
  <c r="AH35" i="2"/>
  <c r="AF35" i="2"/>
  <c r="AD35" i="2"/>
  <c r="AB35" i="2"/>
  <c r="X35" i="2"/>
  <c r="V35" i="2"/>
  <c r="T35" i="2"/>
  <c r="R35" i="2"/>
  <c r="P35" i="2"/>
  <c r="N35" i="2"/>
  <c r="L35" i="2"/>
  <c r="J35" i="2"/>
  <c r="H35" i="2"/>
  <c r="H34" i="2"/>
  <c r="J34" i="2"/>
  <c r="L34" i="2"/>
  <c r="N34" i="2"/>
  <c r="P34" i="2"/>
  <c r="R34" i="2"/>
  <c r="T34" i="2"/>
  <c r="V34" i="2"/>
  <c r="X34" i="2"/>
  <c r="AD34" i="2"/>
  <c r="AF34" i="2"/>
  <c r="AH34" i="2"/>
  <c r="AJ34" i="2"/>
  <c r="AL34" i="2"/>
  <c r="AN34" i="2"/>
  <c r="AP34" i="2"/>
  <c r="AR34" i="2"/>
  <c r="BL34" i="2"/>
  <c r="H33" i="2"/>
  <c r="J33" i="2"/>
  <c r="L33" i="2"/>
  <c r="N33" i="2"/>
  <c r="P33" i="2"/>
  <c r="R33" i="2"/>
  <c r="T33" i="2"/>
  <c r="V33" i="2"/>
  <c r="X33" i="2"/>
  <c r="Z33" i="2"/>
  <c r="AF33" i="2"/>
  <c r="AH33" i="2"/>
  <c r="AJ33" i="2"/>
  <c r="AL33" i="2"/>
  <c r="AN33" i="2"/>
  <c r="AP33" i="2"/>
  <c r="AR33" i="2"/>
  <c r="BL33" i="2"/>
  <c r="H32" i="2"/>
  <c r="J32" i="2"/>
  <c r="L32" i="2"/>
  <c r="N32" i="2"/>
  <c r="P32" i="2"/>
  <c r="R32" i="2"/>
  <c r="T32" i="2"/>
  <c r="V32" i="2"/>
  <c r="X32" i="2"/>
  <c r="AB32" i="2"/>
  <c r="AD32" i="2"/>
  <c r="AF32" i="2"/>
  <c r="AH32" i="2"/>
  <c r="AJ32" i="2"/>
  <c r="AL32" i="2"/>
  <c r="AN32" i="2"/>
  <c r="AP32" i="2"/>
  <c r="AR32" i="2"/>
  <c r="BL32" i="2"/>
  <c r="AC6" i="5"/>
  <c r="S8" i="5"/>
  <c r="Y11" i="5"/>
  <c r="AC16" i="5"/>
  <c r="AC18" i="5"/>
  <c r="W22" i="5"/>
  <c r="AG24" i="5"/>
  <c r="AI24" i="5"/>
  <c r="AK24" i="5"/>
  <c r="AG27" i="5"/>
  <c r="AI27" i="5"/>
  <c r="AG32" i="5"/>
  <c r="O34" i="5"/>
  <c r="O35" i="5"/>
  <c r="O36" i="5"/>
  <c r="O39" i="5"/>
  <c r="O41" i="5"/>
  <c r="O43" i="5"/>
  <c r="O44" i="5"/>
  <c r="BK47" i="5"/>
  <c r="J7" i="11" l="1"/>
  <c r="M30" i="2"/>
  <c r="R16" i="11"/>
  <c r="N6" i="11"/>
  <c r="L12" i="11"/>
  <c r="L13" i="11"/>
  <c r="Z13" i="11"/>
  <c r="X27" i="11"/>
  <c r="V27" i="11"/>
  <c r="T27" i="11"/>
  <c r="R27" i="11"/>
  <c r="P27" i="11"/>
  <c r="N27" i="11"/>
  <c r="L27" i="11"/>
  <c r="J27" i="11"/>
  <c r="H27" i="11"/>
  <c r="X26" i="11"/>
  <c r="V26" i="11"/>
  <c r="T26" i="11"/>
  <c r="R26" i="11"/>
  <c r="P26" i="11"/>
  <c r="N26" i="11"/>
  <c r="L26" i="11"/>
  <c r="J26" i="11"/>
  <c r="H26" i="11"/>
  <c r="X15" i="11"/>
  <c r="V15" i="11"/>
  <c r="T15" i="11"/>
  <c r="R15" i="11"/>
  <c r="P15" i="11"/>
  <c r="N15" i="11"/>
  <c r="L15" i="11"/>
  <c r="J15" i="11"/>
  <c r="H15" i="11"/>
  <c r="X14" i="11"/>
  <c r="V14" i="11"/>
  <c r="T14" i="11"/>
  <c r="R14" i="11"/>
  <c r="P14" i="11"/>
  <c r="N14" i="11"/>
  <c r="L14" i="11"/>
  <c r="J14" i="11"/>
  <c r="H14" i="11"/>
  <c r="X23" i="11"/>
  <c r="V23" i="11"/>
  <c r="T23" i="11"/>
  <c r="R23" i="11"/>
  <c r="P23" i="11"/>
  <c r="N23" i="11"/>
  <c r="L23" i="11"/>
  <c r="J23" i="11"/>
  <c r="H23" i="11"/>
  <c r="X22" i="11"/>
  <c r="V22" i="11"/>
  <c r="T22" i="11"/>
  <c r="R22" i="11"/>
  <c r="P22" i="11"/>
  <c r="N22" i="11"/>
  <c r="J22" i="11"/>
  <c r="H22" i="11"/>
  <c r="BJ29" i="2" l="1"/>
  <c r="AR29" i="2"/>
  <c r="AP29" i="2"/>
  <c r="AN29" i="2"/>
  <c r="AL29" i="2"/>
  <c r="AJ29" i="2"/>
  <c r="AH29" i="2"/>
  <c r="N29" i="2"/>
  <c r="L29" i="2"/>
  <c r="J29" i="2"/>
  <c r="H29" i="2"/>
  <c r="AX28" i="2" l="1"/>
  <c r="AJ28" i="2"/>
  <c r="AH28" i="2"/>
  <c r="AF28" i="2"/>
  <c r="AD28" i="2"/>
  <c r="AB28" i="2"/>
  <c r="Z28" i="2"/>
  <c r="X28" i="2"/>
  <c r="V28" i="2"/>
  <c r="T28" i="2"/>
  <c r="R28" i="2"/>
  <c r="P28" i="2"/>
  <c r="N28" i="2"/>
  <c r="L28" i="2"/>
  <c r="J28" i="2"/>
  <c r="H28" i="2"/>
  <c r="H27" i="2" l="1"/>
  <c r="J27" i="2"/>
  <c r="L27" i="2"/>
  <c r="AB27" i="2"/>
  <c r="AD27" i="2"/>
  <c r="H26" i="2" l="1"/>
  <c r="J26" i="2"/>
  <c r="L26" i="2"/>
  <c r="N26" i="2"/>
  <c r="P26" i="2"/>
  <c r="R26" i="2"/>
  <c r="T26" i="2"/>
  <c r="AB26" i="2"/>
  <c r="AD26" i="2"/>
  <c r="AF26" i="2"/>
  <c r="AH26" i="2"/>
  <c r="AJ26" i="2"/>
  <c r="AX26" i="2"/>
  <c r="H25" i="2"/>
  <c r="J25" i="2"/>
  <c r="L25" i="2"/>
  <c r="N25" i="2"/>
  <c r="P25" i="2"/>
  <c r="R25" i="2"/>
  <c r="T25" i="2"/>
  <c r="AB25" i="2"/>
  <c r="AD25" i="2"/>
  <c r="AF25" i="2"/>
  <c r="AH25" i="2"/>
  <c r="AJ25" i="2"/>
  <c r="AX25" i="2"/>
  <c r="BA25" i="2"/>
  <c r="H24" i="2"/>
  <c r="J24" i="2"/>
  <c r="L24" i="2"/>
  <c r="N24" i="2"/>
  <c r="P24" i="2"/>
  <c r="R24" i="2"/>
  <c r="T24" i="2"/>
  <c r="V24" i="2"/>
  <c r="X24" i="2"/>
  <c r="Z24" i="2"/>
  <c r="AB24" i="2"/>
  <c r="AD24" i="2"/>
  <c r="H23" i="2"/>
  <c r="J23" i="2"/>
  <c r="L23" i="2"/>
  <c r="N23" i="2"/>
  <c r="P23" i="2"/>
  <c r="R23" i="2"/>
  <c r="T23" i="2"/>
  <c r="V23" i="2"/>
  <c r="X23" i="2"/>
  <c r="Z23" i="2"/>
  <c r="AB23" i="2"/>
  <c r="AD23" i="2"/>
  <c r="AR23" i="2"/>
  <c r="AD22" i="2"/>
  <c r="AB22" i="2"/>
  <c r="Z22" i="2"/>
  <c r="X22" i="2"/>
  <c r="V22" i="2"/>
  <c r="T22" i="2"/>
  <c r="R22" i="2"/>
  <c r="P22" i="2"/>
  <c r="N22" i="2"/>
  <c r="L22" i="2"/>
  <c r="J22" i="2"/>
  <c r="H22" i="2"/>
  <c r="X13" i="11" l="1"/>
  <c r="V13" i="11"/>
  <c r="T13" i="11"/>
  <c r="R13" i="11"/>
  <c r="P13" i="11"/>
  <c r="N13" i="11"/>
  <c r="J13" i="11"/>
  <c r="H13" i="11"/>
  <c r="X12" i="11"/>
  <c r="V12" i="11"/>
  <c r="T12" i="11"/>
  <c r="R12" i="11"/>
  <c r="P12" i="11"/>
  <c r="N12" i="11"/>
  <c r="J12" i="11"/>
  <c r="H12" i="11"/>
  <c r="X11" i="11"/>
  <c r="V11" i="11"/>
  <c r="T11" i="11"/>
  <c r="R11" i="11"/>
  <c r="P11" i="11"/>
  <c r="N11" i="11"/>
  <c r="L11" i="11"/>
  <c r="J11" i="11"/>
  <c r="H11" i="11"/>
  <c r="X10" i="11"/>
  <c r="V10" i="11"/>
  <c r="T10" i="11"/>
  <c r="R10" i="11"/>
  <c r="P10" i="11"/>
  <c r="N10" i="11"/>
  <c r="L10" i="11"/>
  <c r="J10" i="11"/>
  <c r="H10" i="11"/>
  <c r="X25" i="11"/>
  <c r="V25" i="11"/>
  <c r="T25" i="11"/>
  <c r="R25" i="11"/>
  <c r="P25" i="11"/>
  <c r="N25" i="11"/>
  <c r="L25" i="11"/>
  <c r="J25" i="11"/>
  <c r="H25" i="11"/>
  <c r="X24" i="11"/>
  <c r="V24" i="11"/>
  <c r="T24" i="11"/>
  <c r="R24" i="11"/>
  <c r="P24" i="11"/>
  <c r="N24" i="11"/>
  <c r="L24" i="11"/>
  <c r="J24" i="11"/>
  <c r="H24" i="11"/>
  <c r="X9" i="11"/>
  <c r="V9" i="11"/>
  <c r="T9" i="11"/>
  <c r="R9" i="11"/>
  <c r="P9" i="11"/>
  <c r="N9" i="11"/>
  <c r="L9" i="11"/>
  <c r="J9" i="11"/>
  <c r="H9" i="11"/>
  <c r="X8" i="11"/>
  <c r="V8" i="11"/>
  <c r="T8" i="11"/>
  <c r="R8" i="11"/>
  <c r="P8" i="11"/>
  <c r="N8" i="11"/>
  <c r="L8" i="11"/>
  <c r="J8" i="11"/>
  <c r="H8" i="11"/>
  <c r="X7" i="11"/>
  <c r="V7" i="11"/>
  <c r="T7" i="11"/>
  <c r="R7" i="11"/>
  <c r="P7" i="11"/>
  <c r="N7" i="11"/>
  <c r="L7" i="11"/>
  <c r="H7" i="11"/>
  <c r="X6" i="11"/>
  <c r="V6" i="11"/>
  <c r="T6" i="11"/>
  <c r="R6" i="11"/>
  <c r="P6" i="11"/>
  <c r="L6" i="11"/>
  <c r="J6" i="11"/>
  <c r="H6" i="11"/>
  <c r="X5" i="11"/>
  <c r="V5" i="11"/>
  <c r="T5" i="11"/>
  <c r="R5" i="11"/>
  <c r="P5" i="11"/>
  <c r="N5" i="11"/>
  <c r="L5" i="11"/>
  <c r="J5" i="11"/>
  <c r="H5" i="11"/>
  <c r="C2" i="11"/>
  <c r="H21" i="2"/>
  <c r="J21" i="2"/>
  <c r="L21" i="2"/>
  <c r="N21" i="2"/>
  <c r="P21" i="2"/>
  <c r="R21" i="2"/>
  <c r="T21" i="2"/>
  <c r="V21" i="2"/>
  <c r="X21" i="2"/>
  <c r="Z21" i="2"/>
  <c r="AB21" i="2"/>
  <c r="AD21" i="2"/>
  <c r="AP21" i="2"/>
  <c r="H20" i="2" l="1"/>
  <c r="J20" i="2"/>
  <c r="L20" i="2"/>
  <c r="N20" i="2"/>
  <c r="P20" i="2"/>
  <c r="R20" i="2"/>
  <c r="T20" i="2"/>
  <c r="V20" i="2"/>
  <c r="X20" i="2"/>
  <c r="Z20" i="2"/>
  <c r="AB20" i="2"/>
  <c r="AD20" i="2"/>
  <c r="H19" i="2"/>
  <c r="J19" i="2"/>
  <c r="L19" i="2"/>
  <c r="N19" i="2"/>
  <c r="V19" i="2"/>
  <c r="X19" i="2"/>
  <c r="Z19" i="2"/>
  <c r="AB19" i="2"/>
  <c r="AD19" i="2"/>
  <c r="AF19" i="2"/>
  <c r="AH19" i="2"/>
  <c r="AP19" i="2"/>
  <c r="H18" i="2"/>
  <c r="J18" i="2"/>
  <c r="L18" i="2"/>
  <c r="R18" i="2"/>
  <c r="T18" i="2"/>
  <c r="V18" i="2"/>
  <c r="X18" i="2"/>
  <c r="Z18" i="2"/>
  <c r="AB18" i="2"/>
  <c r="AD18" i="2"/>
  <c r="AF18" i="2"/>
  <c r="C2" i="8"/>
  <c r="H17" i="2"/>
  <c r="J17" i="2"/>
  <c r="L17" i="2"/>
  <c r="N17" i="2"/>
  <c r="P17" i="2"/>
  <c r="R17" i="2"/>
  <c r="T17" i="2"/>
  <c r="V17" i="2"/>
  <c r="X17" i="2"/>
  <c r="Z17" i="2"/>
  <c r="AB17" i="2"/>
  <c r="H16" i="2"/>
  <c r="J16" i="2"/>
  <c r="N16" i="2"/>
  <c r="P16" i="2"/>
  <c r="R16" i="2"/>
  <c r="T16" i="2"/>
  <c r="V16" i="2"/>
  <c r="X16" i="2"/>
  <c r="Z16" i="2"/>
  <c r="AB16" i="2"/>
  <c r="H15" i="2"/>
  <c r="J15" i="2"/>
  <c r="L15" i="2"/>
  <c r="N15" i="2"/>
  <c r="P15" i="2"/>
  <c r="R15" i="2"/>
  <c r="T15" i="2"/>
  <c r="V15" i="2"/>
  <c r="X15" i="2"/>
  <c r="Z15" i="2"/>
  <c r="AB15" i="2"/>
  <c r="AT15" i="2"/>
  <c r="H12" i="2"/>
  <c r="J12" i="2"/>
  <c r="L12" i="2"/>
  <c r="N12" i="2"/>
  <c r="P12" i="2"/>
  <c r="R12" i="2"/>
  <c r="T12" i="2"/>
  <c r="V12" i="2"/>
  <c r="X12" i="2"/>
  <c r="Z12" i="2"/>
  <c r="AB12" i="2"/>
  <c r="AT12" i="2"/>
  <c r="H13" i="2"/>
  <c r="J13" i="2"/>
  <c r="L13" i="2"/>
  <c r="R13" i="2"/>
  <c r="T13" i="2"/>
  <c r="V13" i="2"/>
  <c r="X13" i="2"/>
  <c r="Z13" i="2"/>
  <c r="AB13" i="2"/>
  <c r="AD13" i="2"/>
  <c r="AF13" i="2"/>
  <c r="H14" i="2"/>
  <c r="J14" i="2"/>
  <c r="L14" i="2"/>
  <c r="N14" i="2"/>
  <c r="P14" i="2"/>
  <c r="R14" i="2"/>
  <c r="T14" i="2"/>
  <c r="V14" i="2"/>
  <c r="X14" i="2"/>
  <c r="Z14" i="2"/>
  <c r="AB14" i="2"/>
  <c r="H11" i="2"/>
  <c r="J11" i="2"/>
  <c r="L11" i="2"/>
  <c r="N11" i="2"/>
  <c r="P11" i="2"/>
  <c r="R11" i="2"/>
  <c r="T11" i="2"/>
  <c r="V11" i="2"/>
  <c r="AB11" i="2"/>
  <c r="H9" i="2"/>
  <c r="J9" i="2"/>
  <c r="T9" i="2"/>
  <c r="H10" i="2"/>
  <c r="J10" i="2"/>
  <c r="L10" i="2"/>
  <c r="R10" i="2"/>
  <c r="T10" i="2"/>
  <c r="V10" i="2"/>
  <c r="X10" i="2"/>
  <c r="Z10" i="2"/>
  <c r="AB10" i="2"/>
  <c r="AD10" i="2"/>
  <c r="AF10" i="2"/>
  <c r="H7" i="2"/>
  <c r="J7" i="2"/>
  <c r="L7" i="2"/>
  <c r="P7" i="2"/>
  <c r="R7" i="2"/>
  <c r="T7" i="2"/>
  <c r="H8" i="2"/>
  <c r="J8" i="2"/>
  <c r="L8" i="2"/>
  <c r="N8" i="2"/>
  <c r="P8" i="2"/>
  <c r="R8" i="2"/>
  <c r="T8" i="2"/>
  <c r="Z8" i="2"/>
  <c r="AB8" i="2"/>
  <c r="H5" i="2"/>
  <c r="J5" i="2"/>
  <c r="L5" i="2"/>
  <c r="P5" i="2"/>
  <c r="AF5" i="2"/>
  <c r="AH5" i="2"/>
  <c r="AP5" i="2"/>
  <c r="K18" i="7" l="1"/>
  <c r="K8" i="7"/>
  <c r="C2" i="5" l="1"/>
  <c r="G21" i="4"/>
  <c r="I21" i="4"/>
  <c r="K21" i="4"/>
  <c r="W21" i="4"/>
  <c r="Y21" i="4"/>
  <c r="AA21" i="4"/>
  <c r="AC21" i="4"/>
  <c r="AO21" i="4"/>
  <c r="G20" i="4"/>
  <c r="K17" i="4"/>
  <c r="K11" i="4"/>
  <c r="K9" i="4"/>
  <c r="Y20" i="4"/>
  <c r="W20" i="4"/>
  <c r="U20" i="4"/>
  <c r="M20" i="4"/>
  <c r="K20" i="4"/>
  <c r="AO19" i="4"/>
  <c r="AE19" i="4"/>
  <c r="Y19" i="4"/>
  <c r="W19" i="4"/>
  <c r="U19" i="4"/>
  <c r="M19" i="4"/>
  <c r="K19" i="4"/>
  <c r="I19" i="4"/>
  <c r="G19" i="4"/>
  <c r="AO18" i="4"/>
  <c r="AE18" i="4"/>
  <c r="Y18" i="4"/>
  <c r="W18" i="4"/>
  <c r="U18" i="4"/>
  <c r="M18" i="4"/>
  <c r="K18" i="4"/>
  <c r="I18" i="4"/>
  <c r="G18" i="4"/>
  <c r="AO17" i="4"/>
  <c r="Y17" i="4"/>
  <c r="W17" i="4"/>
  <c r="U17" i="4"/>
  <c r="O17" i="4"/>
  <c r="M17" i="4"/>
  <c r="I17" i="4"/>
  <c r="G17" i="4"/>
  <c r="U16" i="4"/>
  <c r="O16" i="4"/>
  <c r="M16" i="4"/>
  <c r="K16" i="4"/>
  <c r="I16" i="4"/>
  <c r="G16" i="4"/>
  <c r="Y15" i="4"/>
  <c r="W15" i="4"/>
  <c r="U15" i="4"/>
  <c r="Q15" i="4"/>
  <c r="O15" i="4"/>
  <c r="M15" i="4"/>
  <c r="K15" i="4"/>
  <c r="I15" i="4"/>
  <c r="G15" i="4"/>
  <c r="AO14" i="4"/>
  <c r="Y14" i="4"/>
  <c r="W14" i="4"/>
  <c r="U14" i="4"/>
  <c r="Q14" i="4"/>
  <c r="O14" i="4"/>
  <c r="M14" i="4"/>
  <c r="K14" i="4"/>
  <c r="I14" i="4"/>
  <c r="G14" i="4"/>
  <c r="AO13" i="4"/>
  <c r="AC13" i="4"/>
  <c r="AA13" i="4"/>
  <c r="Y13" i="4"/>
  <c r="W13" i="4"/>
  <c r="U13" i="4"/>
  <c r="M13" i="4"/>
  <c r="K13" i="4"/>
  <c r="I13" i="4"/>
  <c r="G13" i="4"/>
  <c r="AO12" i="4"/>
  <c r="AE12" i="4"/>
  <c r="AC12" i="4"/>
  <c r="AA12" i="4"/>
  <c r="Y12" i="4"/>
  <c r="W12" i="4"/>
  <c r="U12" i="4"/>
  <c r="M12" i="4"/>
  <c r="K12" i="4"/>
  <c r="I12" i="4"/>
  <c r="G12" i="4"/>
  <c r="AO11" i="4"/>
  <c r="AK11" i="4"/>
  <c r="AA11" i="4"/>
  <c r="Y11" i="4"/>
  <c r="W11" i="4"/>
  <c r="U11" i="4"/>
  <c r="M11" i="4"/>
  <c r="I11" i="4"/>
  <c r="G11" i="4"/>
  <c r="U10" i="4"/>
  <c r="Q10" i="4"/>
  <c r="O10" i="4"/>
  <c r="M10" i="4"/>
  <c r="K10" i="4"/>
  <c r="I10" i="4"/>
  <c r="G10" i="4"/>
  <c r="U9" i="4"/>
  <c r="Q9" i="4"/>
  <c r="O9" i="4"/>
  <c r="M9" i="4"/>
  <c r="I9" i="4"/>
  <c r="G9" i="4"/>
  <c r="AO8" i="4"/>
  <c r="U8" i="4"/>
  <c r="Q8" i="4"/>
  <c r="O8" i="4"/>
  <c r="M8" i="4"/>
  <c r="K8" i="4"/>
  <c r="I8" i="4"/>
  <c r="G8" i="4"/>
  <c r="AO7" i="4"/>
  <c r="AA7" i="4"/>
  <c r="U7" i="4"/>
  <c r="O7" i="4"/>
  <c r="M7" i="4"/>
  <c r="K7" i="4"/>
  <c r="I7" i="4"/>
  <c r="G7" i="4"/>
  <c r="U6" i="4"/>
  <c r="Q6" i="4"/>
  <c r="O6" i="4"/>
  <c r="M6" i="4"/>
  <c r="K6" i="4"/>
  <c r="I6" i="4"/>
  <c r="G6" i="4"/>
  <c r="U5" i="4"/>
  <c r="O5" i="4"/>
  <c r="M5" i="4"/>
  <c r="K5" i="4"/>
  <c r="I5" i="4"/>
  <c r="G5" i="4"/>
  <c r="B2" i="4"/>
  <c r="P6" i="2"/>
  <c r="L6" i="2"/>
  <c r="J6" i="2"/>
  <c r="H6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tc={C1FF5492-4BDF-4102-A7CF-B0A2808E361C}</author>
  </authors>
  <commentList>
    <comment ref="AM3" authorId="0" shapeId="0" xr:uid="{C1FF5492-4BDF-4102-A7CF-B0A2808E361C}">
      <text>
        <t>[Threaded comment]
Your version of Excel allows you to read this threaded comment; however, any edits to it will get removed if the file is opened in a newer version of Excel. Learn more: https://go.microsoft.com/fwlink/?linkid=870924
Comment:
    SpiceJet CAT II, CAT III : Recurrent Annually 
(Ref. B737-8/9 CAT II/III Manual))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tc={0CA57EBF-0E26-4320-8357-3D2E4219642B}</author>
  </authors>
  <commentList>
    <comment ref="AM3" authorId="0" shapeId="0" xr:uid="{0CA57EBF-0E26-4320-8357-3D2E4219642B}">
      <text>
        <t>[Threaded comment]
Your version of Excel allows you to read this threaded comment; however, any edits to it will get removed if the file is opened in a newer version of Excel. Learn more: https://go.microsoft.com/fwlink/?linkid=870924
Comment:
    SpiceJet CAT II, CAT III : Recurrent Annually 
(Ref. B737-8/9 CAT II/III Manual))</t>
      </text>
    </comment>
  </commentList>
</comments>
</file>

<file path=xl/sharedStrings.xml><?xml version="1.0" encoding="utf-8"?>
<sst xmlns="http://schemas.openxmlformats.org/spreadsheetml/2006/main" count="9270" uniqueCount="862">
  <si>
    <t>วิทยากรภายนอก</t>
  </si>
  <si>
    <t>No.</t>
  </si>
  <si>
    <t xml:space="preserve">ชื่อหลักสูตร </t>
  </si>
  <si>
    <t>บริษัท</t>
  </si>
  <si>
    <t>ราคา (THB)</t>
  </si>
  <si>
    <t>ระยะเวลา</t>
  </si>
  <si>
    <t>แผนวันที่เรียน 
(อาจมีการเปลี่ยนแปลงตามความเหมาะสม)</t>
  </si>
  <si>
    <t>หมายเหตุ</t>
  </si>
  <si>
    <t>Aircraft General Familiarization for Aircraft Type A318/A319/A320/A321</t>
  </si>
  <si>
    <t>วิทยากรภายนอก
Mr. Pitsanu</t>
  </si>
  <si>
    <t>2 Days 
(16 Hrs.)</t>
  </si>
  <si>
    <t>8-9 Nov 2023</t>
  </si>
  <si>
    <t>Separate 2 course</t>
  </si>
  <si>
    <t>2 Days
(16 Hrs.)</t>
  </si>
  <si>
    <t>6-7 Dec 2023</t>
  </si>
  <si>
    <t>Safety Management System</t>
  </si>
  <si>
    <t>วิทยากรภายนอก
Capt. Kittipong</t>
  </si>
  <si>
    <t>32,300
(Estimate)</t>
  </si>
  <si>
    <t>16-17 Dec 2023</t>
  </si>
  <si>
    <t>Within Jan-2024</t>
  </si>
  <si>
    <t>HUMAN FACTORS</t>
  </si>
  <si>
    <t>1 Day 
(8 Hrs.)</t>
  </si>
  <si>
    <t>14-15 Dec 2023</t>
  </si>
  <si>
    <t>Brushup Aircraft Type A318/A319/A320/A321</t>
  </si>
  <si>
    <t>วิทยากรภายนอก
(TBA)</t>
  </si>
  <si>
    <t>5-7 Days
(Estimate)</t>
  </si>
  <si>
    <t>Request Complete Course Within 20-Jan-24</t>
  </si>
  <si>
    <t>Due to LAE have no 6/24 as per TCAR8 they need to Brushup Type course training for continue AMEL and Type License.</t>
  </si>
  <si>
    <t>SPECIAL OPERATION (EDTO)</t>
  </si>
  <si>
    <t>15,464
(Estimate)</t>
  </si>
  <si>
    <t>SpiceJet customer requirements (conduct for the new SAMS certifying staff)</t>
  </si>
  <si>
    <t>Totel (Estimate)</t>
  </si>
  <si>
    <t>วิทยากรภายใน</t>
  </si>
  <si>
    <t>Aircraft General Familiarization for B737-600/700/800/900 (CFM56) and B737-7/8/9 (CFM LEAP-1B)</t>
  </si>
  <si>
    <t>วิทยากรภายใน
Mr. Sanmanas R.</t>
  </si>
  <si>
    <t>Within Feb-2024</t>
  </si>
  <si>
    <t>Recurrent type course B737 and Relevant technology</t>
  </si>
  <si>
    <t>Within 08-Dec-2023</t>
  </si>
  <si>
    <t>Company Policy, Procedures (MOE &amp; TPM) and 145 CAAT Laws and Regulations</t>
  </si>
  <si>
    <t>วิทยากรภายใน
Ms. Nunchanok H.
Ms. Tidarat P.</t>
  </si>
  <si>
    <t>SAMS Company Policy, MOE and TPM (NokAir)</t>
  </si>
  <si>
    <t>1 Day 
(4 Hrs.)</t>
  </si>
  <si>
    <t>NOK Manpower performed under SAMS more than 35 persons need to separate 2 course</t>
  </si>
  <si>
    <t>SAMS Company Policy, MOE and TPM (TAI)</t>
  </si>
  <si>
    <t>4 Hrs.</t>
  </si>
  <si>
    <t xml:space="preserve">TAI Manpower performed under SAMS </t>
  </si>
  <si>
    <t>Electrical Wiring Interconnection System</t>
  </si>
  <si>
    <t>Dangerous Goods Awareness</t>
  </si>
  <si>
    <t>วิทยากรภายใน
Ms. Tidarat P.</t>
  </si>
  <si>
    <t>ลำดับ</t>
  </si>
  <si>
    <t>ชื่อ-นามสกุล</t>
  </si>
  <si>
    <t>หน่วยงาน</t>
  </si>
  <si>
    <t>หน้าที่</t>
  </si>
  <si>
    <t>จำนวนวัน</t>
  </si>
  <si>
    <t>วันที่ออกบัตร</t>
  </si>
  <si>
    <t>เวลา</t>
  </si>
  <si>
    <t>MR. KITTIPHONG PHONGPRAPHAT</t>
  </si>
  <si>
    <t>External Instructor</t>
  </si>
  <si>
    <t>อบรมภายในพนักงานฝ่ายช่าง</t>
  </si>
  <si>
    <t>16-17Dec2023</t>
  </si>
  <si>
    <t>09:00-19:00</t>
  </si>
  <si>
    <t>MR. MOHD NASHRIQ BIN AZMI</t>
  </si>
  <si>
    <t>FireFly</t>
  </si>
  <si>
    <t>18-20Dec2023</t>
  </si>
  <si>
    <t>หลักสูตรที่พนักงาน SAMS ต้องออกไปเรียนภายนอก</t>
  </si>
  <si>
    <t>MR. LUTHER LIN</t>
  </si>
  <si>
    <t>MDCA</t>
  </si>
  <si>
    <t>ตรวจสอบหน่วยงานซ่อมบำรุงอากาศยาน</t>
  </si>
  <si>
    <t>21-22, 25 Dec 2023</t>
  </si>
  <si>
    <t>08:30-18:00</t>
  </si>
  <si>
    <t>MR. KHUN AUNG ZAW TUN</t>
  </si>
  <si>
    <t>FireFly
- Company Policy and relevant program
- AMOS Maintenance Record System</t>
  </si>
  <si>
    <t>วิทยากรภายนอก
จากสายการบินลูกค้า
FireFly</t>
  </si>
  <si>
    <t>5 Days</t>
  </si>
  <si>
    <t>Customers require training SAMS Instructors in Malaysia and we have a plan to contact CAAM together.</t>
  </si>
  <si>
    <t>0044</t>
  </si>
  <si>
    <t>Mr. Pichai</t>
  </si>
  <si>
    <t>0047</t>
  </si>
  <si>
    <t xml:space="preserve">Mr. Trairattana </t>
  </si>
  <si>
    <t>0049</t>
  </si>
  <si>
    <t xml:space="preserve">Mr. Thawansak </t>
  </si>
  <si>
    <t>0052</t>
  </si>
  <si>
    <t>Mr. Pongsak</t>
  </si>
  <si>
    <t>0053</t>
  </si>
  <si>
    <t>Mr. Chinnapat</t>
  </si>
  <si>
    <t>0055</t>
  </si>
  <si>
    <t>Mr. Korkiat</t>
  </si>
  <si>
    <t>0059</t>
  </si>
  <si>
    <t>Mr. Pathompong</t>
  </si>
  <si>
    <t>ตกหล่น</t>
  </si>
  <si>
    <t>0060</t>
  </si>
  <si>
    <t>Mr. Jiroj</t>
  </si>
  <si>
    <t>CM</t>
  </si>
  <si>
    <t>0065</t>
  </si>
  <si>
    <t>Mr. Somchai</t>
  </si>
  <si>
    <t>SM</t>
  </si>
  <si>
    <t>0070</t>
  </si>
  <si>
    <t xml:space="preserve">Mr. Sakkarin </t>
  </si>
  <si>
    <t>TS</t>
  </si>
  <si>
    <t>0071</t>
  </si>
  <si>
    <t xml:space="preserve">Mr. Amnuay </t>
  </si>
  <si>
    <t>New staff</t>
  </si>
  <si>
    <t>0077</t>
  </si>
  <si>
    <t xml:space="preserve">Mr. Punvasin </t>
  </si>
  <si>
    <t>0079</t>
  </si>
  <si>
    <t xml:space="preserve">Mr. Petai </t>
  </si>
  <si>
    <t>0086</t>
  </si>
  <si>
    <t xml:space="preserve">Mr. Preecha </t>
  </si>
  <si>
    <t>0089</t>
  </si>
  <si>
    <t xml:space="preserve">Mr. Prasarn </t>
  </si>
  <si>
    <t>0097</t>
  </si>
  <si>
    <t>Mr. Thawatchai</t>
  </si>
  <si>
    <t>0100</t>
  </si>
  <si>
    <t>Mr. Naphat</t>
  </si>
  <si>
    <t>0104</t>
  </si>
  <si>
    <t>Mr. Montean</t>
  </si>
  <si>
    <t>0150</t>
  </si>
  <si>
    <t>Mr. Harit</t>
  </si>
  <si>
    <t>Training Record Monitoring</t>
  </si>
  <si>
    <t>As of:</t>
  </si>
  <si>
    <t xml:space="preserve">            Mandatory Course</t>
  </si>
  <si>
    <t>Type Course</t>
  </si>
  <si>
    <t>Additional Course</t>
  </si>
  <si>
    <t>Customer Course</t>
  </si>
  <si>
    <t>Staff ID</t>
  </si>
  <si>
    <t>Name</t>
  </si>
  <si>
    <t>Surname</t>
  </si>
  <si>
    <t>Position</t>
  </si>
  <si>
    <t>Hold type</t>
  </si>
  <si>
    <t>Human Factors</t>
  </si>
  <si>
    <t>Human Factor</t>
  </si>
  <si>
    <t>Safety Management System3</t>
  </si>
  <si>
    <t>Dangerous Goods Awareness5</t>
  </si>
  <si>
    <t>Aircraft General Familiarization (B737-600/700/800/900 (CFM56)) and relevant technology</t>
  </si>
  <si>
    <t>Aircraft General Familiarization (B737-600/700/800/900 (CFM56)) and relevant technology6</t>
  </si>
  <si>
    <t>Aircraft General Familiarization (B737-7/8/9 (CFM LEAP-1B) and relevant technology</t>
  </si>
  <si>
    <t>Aircraft General Familiarization (B737-7/8/9 (CFM LEAP-1B) and relevant technology7</t>
  </si>
  <si>
    <t>Aircraft General Familiarization (A318/A319/A320/321) and relevant technology</t>
  </si>
  <si>
    <t>Aircraft General Familiarization (A318/A319/A320/321) and relevant technology2</t>
  </si>
  <si>
    <t>Aircraft General Familiarization (B777-200/300/300ER) and relevant technology</t>
  </si>
  <si>
    <t>Aircraft General Familiarization (B777-200/300/300ER) and relevant technology2</t>
  </si>
  <si>
    <t>Aircraft General Familiarization (A330-200/300/800/900) and relevant technology</t>
  </si>
  <si>
    <t>Aircraft General Familiarization (A330-200/300/800/900) and relevant technology2</t>
  </si>
  <si>
    <t>Aircraft General Familiarization (B787-8/9) and relevant technology</t>
  </si>
  <si>
    <t>Aircraft General Familiarization (B787-8/9) and relevant technology2</t>
  </si>
  <si>
    <t>Aircraft General Familiarization (E190) and relevant technology</t>
  </si>
  <si>
    <t>Aircraft General Familiarization (E190) and relevant technology2</t>
  </si>
  <si>
    <t>Aircraft General Familiarization (B767) and relevant technology</t>
  </si>
  <si>
    <t>Aircraft General Familiarization ((B767) ) and relevant technology</t>
  </si>
  <si>
    <t>Aircraft General Familiarization (A350) and relevant technology</t>
  </si>
  <si>
    <t>Aircraft General Familiarization(A350)and relevant technology</t>
  </si>
  <si>
    <t>Company Policy, Procedures (MOE&amp;TPM) and 145 CAAT Laws and  NAA Regulations</t>
  </si>
  <si>
    <t>Company Policy, Procedures (MOE&amp;TPM) and 145 CAAT Laws and Regulations9</t>
  </si>
  <si>
    <t>Fuel Tank Safety (Phase 1&amp;2)</t>
  </si>
  <si>
    <t>Fuel Tank Safety (Phase 1&amp;2)10</t>
  </si>
  <si>
    <t>Electrical Wiring Interconnection System11</t>
  </si>
  <si>
    <t>Special Operations (RVSM, PBN/RNP, CAT II/III)</t>
  </si>
  <si>
    <t>Special Operations (RVSM, PBN/RNP, CAT II/III)19</t>
  </si>
  <si>
    <t>Special Operations (EDTO/ETOPS)</t>
  </si>
  <si>
    <t>Special Operations (EDTO/ETOPS)20</t>
  </si>
  <si>
    <t xml:space="preserve">SAR-145 </t>
  </si>
  <si>
    <t>SAR-145 2</t>
  </si>
  <si>
    <t xml:space="preserve">MOLIT FSR Regulations  </t>
  </si>
  <si>
    <t>MOLIT FSR Regulations  2</t>
  </si>
  <si>
    <t>Aircraft Type (B737-600/700/800/900 (CFM56)) and relevant technology</t>
  </si>
  <si>
    <t>Aircraft Type (B737-600/700/800/900 (CFM56)) and relevant technology2</t>
  </si>
  <si>
    <t>Aircraft Type (B737-7/8/9 (CFM LEAP-1B)) and relevant technology</t>
  </si>
  <si>
    <t>Aircraft Type (B737-7/8/9 (CFM LEAP-1B)) and relevant technology1</t>
  </si>
  <si>
    <t>Aircraft Type (A318/A319/A320/A321) and relevant technology</t>
  </si>
  <si>
    <t>Aircraft Type (A318/A319/A320/A321) and relevant technology2</t>
  </si>
  <si>
    <t>Aircraft Type (B777-200/300/300ER) and relevant technology</t>
  </si>
  <si>
    <t>Aircraft Type (B777-200/300/300ER) and relevant technology2</t>
  </si>
  <si>
    <t>Aircraft Type (A330-200/300/800/900) and relevant technology</t>
  </si>
  <si>
    <t>Aircraft Type (A330-200/300/800/900) and relevant technology2</t>
  </si>
  <si>
    <t>Aircraft Type (B787-8/9/10) and relevant technology</t>
  </si>
  <si>
    <t>Aircraft Type (B787-8/9/10) and relevant technology2</t>
  </si>
  <si>
    <t>Aircraft Type E190 and relevant technology</t>
  </si>
  <si>
    <t>Aircraft Type E190 and relevant technology2</t>
  </si>
  <si>
    <t>Aircraft Type A350 and relevant technology</t>
  </si>
  <si>
    <t>Aircraft Type A350 and relevant technology2</t>
  </si>
  <si>
    <t>Aircraft Type B767 and relevant technology</t>
  </si>
  <si>
    <t>Aircraft Type B767 and relevant technology2</t>
  </si>
  <si>
    <t xml:space="preserve">Aircraft Parts and Material Receiving </t>
  </si>
  <si>
    <t>Aircraft Parts and Material Receiving
** Recurrent for PAL CRS **</t>
  </si>
  <si>
    <t>Aircraft Inspection Techniques</t>
  </si>
  <si>
    <t>CFM56 Engine Borescope Inspection</t>
  </si>
  <si>
    <t>CFM56 Engine Borescope Inspection2</t>
  </si>
  <si>
    <t>Internal Auditor</t>
  </si>
  <si>
    <t>Lead Auditor</t>
  </si>
  <si>
    <t>Train the Trainer</t>
  </si>
  <si>
    <t>Engine Run Up</t>
  </si>
  <si>
    <t xml:space="preserve">MNA, Myanmar
CAME Procedures Training For SAMS Team				</t>
  </si>
  <si>
    <t xml:space="preserve">9 AIR, China
Briefing General Service introduction of B737 series 
(including B737-8) (Customer 9-Air)			</t>
  </si>
  <si>
    <t>SEJ, India
Documentation and procedure Training</t>
  </si>
  <si>
    <t xml:space="preserve">FFM, Malaysia
Company Procedures and AMOS Training			</t>
  </si>
  <si>
    <t>Work Instruction / Filling Instruction and Introduction to company manual (NOK Airlines)</t>
  </si>
  <si>
    <t>Outstation's training for aircraft dispatch B737-700/800 (for customer Ruili Airlines Co.,Ltd.)</t>
  </si>
  <si>
    <t xml:space="preserve">INDIGO
Documentation and Procedure Training </t>
  </si>
  <si>
    <t>INDIGO
Passenger to Freighter (P2F) A321 aircraft fitted with CFM 56 engines</t>
  </si>
  <si>
    <t>AIXL
Documentation &amp; Procedure Training</t>
  </si>
  <si>
    <t>CENTRAL AIR
Documentation &amp; Procedure Training</t>
  </si>
  <si>
    <t>K-Mile
Documentation &amp; Procedure Training</t>
  </si>
  <si>
    <t>PAL
Documentation &amp; Procedure Training</t>
  </si>
  <si>
    <t>Qingdao
Documentation &amp; Procedure Training</t>
  </si>
  <si>
    <t>CEBU
Documentation &amp; Procedure Training</t>
  </si>
  <si>
    <t>AIR INDIA
Documentation &amp; Procedure Training</t>
  </si>
  <si>
    <t>AKASA
Documentation &amp; Procedure Training</t>
  </si>
  <si>
    <t xml:space="preserve">AKASA
Boeing 737-8200 Familiarization Training </t>
  </si>
  <si>
    <t>Akasa Airlines
Documentation and Procedure Training (EDTO)</t>
  </si>
  <si>
    <t>Air Macau 
Documentation &amp; Procedure Training</t>
  </si>
  <si>
    <t>LongHao
Documentation &amp; Procedure Training</t>
  </si>
  <si>
    <t>Air Astana
Documentation &amp; Procedure Training</t>
  </si>
  <si>
    <t>Maalaysia Airline Documentation &amp; Procedure Training</t>
  </si>
  <si>
    <t>Scoot B787
Documentation &amp; Procedure Training</t>
  </si>
  <si>
    <t>Scoot document and Procedure A320</t>
  </si>
  <si>
    <t>Scoot document and Procedure  E190</t>
  </si>
  <si>
    <t xml:space="preserve">Eastar Jet 
Documentation &amp; Procedure Training </t>
  </si>
  <si>
    <t>SriLankan Airlines Document, Procedures &amp; ETOPS_EDTO Training</t>
  </si>
  <si>
    <t>SriLankan Airlines 
Procedure Training Document for UL Documentation</t>
  </si>
  <si>
    <t xml:space="preserve">
(Line Maintenance Procedures Training)
Sichuan Air</t>
  </si>
  <si>
    <t>Etihad Airways eTechLog CBT training, GCAA Regulations for Contracted AMOs and Etihad D&amp;P Recurrent</t>
  </si>
  <si>
    <t>United Airlines
Documentation and Procedure Training</t>
  </si>
  <si>
    <t xml:space="preserve">Citilink Maintenance Procedure Training </t>
  </si>
  <si>
    <t xml:space="preserve"> </t>
  </si>
  <si>
    <t>Last Training</t>
  </si>
  <si>
    <t>Due Date</t>
  </si>
  <si>
    <t>0012</t>
  </si>
  <si>
    <t>Mr. Sanmanas</t>
  </si>
  <si>
    <t>Ruangsri</t>
  </si>
  <si>
    <t xml:space="preserve">Certifying Staff </t>
  </si>
  <si>
    <t>(B737-600/700/800/900 (CFM56))
(B737-7/8/9 (CFM56 LEAP-1B)</t>
  </si>
  <si>
    <t>N/A</t>
  </si>
  <si>
    <t>-</t>
  </si>
  <si>
    <t>0013</t>
  </si>
  <si>
    <t>Mr. Pissanu</t>
  </si>
  <si>
    <t>Arunbutr</t>
  </si>
  <si>
    <t>0020</t>
  </si>
  <si>
    <t>Mr. Phaisal</t>
  </si>
  <si>
    <t>Sangasang</t>
  </si>
  <si>
    <t>Certifying Staff (A320)</t>
  </si>
  <si>
    <t>- CESSNA-150
- A300-600/600r/A310 A&amp;P ONLY
- B737-400
-A319/A320/A321 (IAE V2500)
- A320 (CFM56) SERIES
- BOEING 737-600/700/800/900 (CFM56)
- AIRBUS A319/A320/A321 (CFM LEAP-1A)
- AIRBUS A319/A320/A321 (IAE PW1100G)</t>
  </si>
  <si>
    <t>0022</t>
  </si>
  <si>
    <t>Mr. Chalong</t>
  </si>
  <si>
    <t>Siri</t>
  </si>
  <si>
    <t>- CESSNA 150
- A310-300
- B777-200
- B777-200/300
- A318/A319/A320/A321 A&amp;P ONLY
- B777-300ER (EXCLUDING ENGINE RUN-UP)
- A319/A320/A321 (IAE V2500)
- BOEING 777-200/300 (RR RB211 TRENT 800)</t>
  </si>
  <si>
    <t>0028</t>
  </si>
  <si>
    <t>Mr. Papoj</t>
  </si>
  <si>
    <t>Imudom</t>
  </si>
  <si>
    <t>Certifying Staff  (B737 NG and MAX)</t>
  </si>
  <si>
    <t>- B737-600/700/800/900 (CFM56)
 B737-8/9 (CFM LEAP-1B)</t>
  </si>
  <si>
    <t>0032</t>
  </si>
  <si>
    <t xml:space="preserve">Mr. Puchong </t>
  </si>
  <si>
    <t>Suwannit</t>
  </si>
  <si>
    <t>Aircraft Mechanic</t>
  </si>
  <si>
    <t>0036</t>
  </si>
  <si>
    <t>Ms. Orrachorn</t>
  </si>
  <si>
    <t>Itipi</t>
  </si>
  <si>
    <t>Compliance Monitoring Manager</t>
  </si>
  <si>
    <t>0039</t>
  </si>
  <si>
    <t>Mr. Nont</t>
  </si>
  <si>
    <t>Bhekasuta</t>
  </si>
  <si>
    <t>0040</t>
  </si>
  <si>
    <t>Mr. Shiravut </t>
  </si>
  <si>
    <t>Butmart</t>
  </si>
  <si>
    <t>0041</t>
  </si>
  <si>
    <t>Mr. Prakarn</t>
  </si>
  <si>
    <t>Sribudh</t>
  </si>
  <si>
    <t>Certifying Staff 
(B737-600/700/800/900 (CFM56))</t>
  </si>
  <si>
    <t>BOEING 737-600/700/800/900 (CFM56)</t>
  </si>
  <si>
    <t>0042</t>
  </si>
  <si>
    <t>Mr. Nuttawee </t>
  </si>
  <si>
    <t>Buaboon</t>
  </si>
  <si>
    <t>Kumprakorn</t>
  </si>
  <si>
    <t>Safety Management Manager</t>
  </si>
  <si>
    <t>Klinkaewboonvong</t>
  </si>
  <si>
    <t>Bharmmano</t>
  </si>
  <si>
    <t>- CESSNA-150
A300-600/600R/A310
- A319 / 320 /321 (A&amp;P ONLY)
- A319/A320/A321 (IAE V2500)
- A319/A320/A321 (CFM56)
- B737-8 (GEnx)
- BOEING 787-8 (RR RB211 TRENT 1000)
- BOEING 787-8/9 (RR RB 211 TRENT 1000)
- AIRBUS A319/320/321 (IAE PW1100G)
- BOEING 787-8/9/10 (GEnx)</t>
  </si>
  <si>
    <t>0051</t>
  </si>
  <si>
    <t>Mr. Sirawit</t>
  </si>
  <si>
    <t>Saetang</t>
  </si>
  <si>
    <t xml:space="preserve">Aircraft Mechanic </t>
  </si>
  <si>
    <t>Wongrak</t>
  </si>
  <si>
    <t>- AIRBUS A319/A320/A321 (IAE V2500)
- AIRBUS A310/A319/A320/A321 (CFM56)
- AIRBUS A319/A320/A321 (CFM LEAP-1A)</t>
  </si>
  <si>
    <t>16 Jun 204</t>
  </si>
  <si>
    <t>Nhurod</t>
  </si>
  <si>
    <t>Fungsuk</t>
  </si>
  <si>
    <t>(B737-600/700/800/900 (CFM56))</t>
  </si>
  <si>
    <t>0056</t>
  </si>
  <si>
    <t>Mr. Paitoon</t>
  </si>
  <si>
    <t>Udompuech</t>
  </si>
  <si>
    <t>- AIRBUS A319/A320/A321 (IAE V2500)
- AIRBUS A319/A320/A321 (IAE PW1100G)
- AIRBUS A318/A319/A320/A321 (CFM56)</t>
  </si>
  <si>
    <t>0057</t>
  </si>
  <si>
    <t>Mr. Montree</t>
  </si>
  <si>
    <t>Chacharoen</t>
  </si>
  <si>
    <t>Accountable Manager</t>
  </si>
  <si>
    <t>Bualuang</t>
  </si>
  <si>
    <t>Certifying Staff (B737NG)</t>
  </si>
  <si>
    <t xml:space="preserve">(B737-600/700/800/900 (CFM56))
</t>
  </si>
  <si>
    <t>Jirathan</t>
  </si>
  <si>
    <t>0061</t>
  </si>
  <si>
    <t>Mr. Santisucha</t>
  </si>
  <si>
    <t>Bunaram</t>
  </si>
  <si>
    <t>0063</t>
  </si>
  <si>
    <t>Mr. Veerapong</t>
  </si>
  <si>
    <t>Chivasakulchai</t>
  </si>
  <si>
    <t>Certifying Staff (A320/B777/A330)</t>
  </si>
  <si>
    <t>A330-220
A340-500/600
B777-200/300
A318/A319/A320/A321 (A&amp;P only)
A330-200/300 (RR Trent 700 )</t>
  </si>
  <si>
    <t>0064</t>
  </si>
  <si>
    <t>Mr. Wasan</t>
  </si>
  <si>
    <t>Preechamaj</t>
  </si>
  <si>
    <t>Certifying Staff (A320/B777)</t>
  </si>
  <si>
    <t>- AIRBUS A319/A320/A321 (IAE V2500)
- AIRBUS A319/A320/A321 (ICFM Leap-1A)
- AIRBUS A318/A319/A320/A321 (CFM56)
- B777-200/300/300ER</t>
  </si>
  <si>
    <t>Phongburoose</t>
  </si>
  <si>
    <t>(B737-600/700/800/900 (CFM56))
(B737-7/8/9 (CFM56 LEAP-1B)
AIRBUS A319/A320/A321 (IAE V2500)
AIRBUS A319/A320/A321 (CFM Leap-1A)
A330-200/300 (Trent 700)</t>
  </si>
  <si>
    <t>0068</t>
  </si>
  <si>
    <t>Mr. Decha</t>
  </si>
  <si>
    <t>Prasert - Amporn</t>
  </si>
  <si>
    <t>Certifying Staff (B777/A330)</t>
  </si>
  <si>
    <t xml:space="preserve">- SOCATA TB-9
- B777-200/300
- B777-300ER
- A330-300 (PW4164 / 4168)
- A330-300 (PW4164 / 4168 RR TRENT 700)
- A330 (GE CF6)
</t>
  </si>
  <si>
    <t>Sukkhi</t>
  </si>
  <si>
    <t>- CESSNA-150
- A330-600/600R/A310
- B747-400
- A318/A319/A320/A321 A&amp;P ONLY
- A319/A320/A321 (IAE V2500)
- AIRBUS A318/A319/A320/ A321 (CFM56)
- BOEING 737-600/700/800/900 (CFM56)
- AIRBUS A319/320/321 (IAE PW1100G)
- BOEING  737-8/9 (CFM LEAP-1B)
- BOEING 737-7/8/9 (LEAPP-1B)</t>
  </si>
  <si>
    <t>Srichomsaeng</t>
  </si>
  <si>
    <t>Certifying Staff  (A320/B737 NG and MAX/A330)</t>
  </si>
  <si>
    <t>- AIRBUS A319/A320/A321 (IAE V2500)
- AIRBUS A319/A320/A321 (ICFM Leap-1A)
- AIRBUS A319/A320/A321 (PW1100G)
- AIRBUS A318/A319/A320/A321 (CFM56)
- B737-600/700/800/900 (CFM56)
- B737-7/8/9 (CFM LEAP-1B)
- A330-300 (PW4168)
- A330-300 (RR Trent 700)</t>
  </si>
  <si>
    <t>0072</t>
  </si>
  <si>
    <t xml:space="preserve">Mr. Chainarong </t>
  </si>
  <si>
    <t>Chaiampon</t>
  </si>
  <si>
    <t>Compliance Standard Executive</t>
  </si>
  <si>
    <t>0073</t>
  </si>
  <si>
    <t xml:space="preserve">Mr. Vachira </t>
  </si>
  <si>
    <t>Vivatanasan</t>
  </si>
  <si>
    <t>Certifying Staff (B737NG/B777/B787/A330)</t>
  </si>
  <si>
    <t xml:space="preserve">- B737-600/700/800/900 (CFM56)
- B777-200/300 (RR RB 211 Trent 800/GE90)
B787-8/9 (RR RB 211 Trent 1000)
- A330-200/300 (RR Trent 700) 
- A330-800/900 (RR Trent 7000) </t>
  </si>
  <si>
    <t>0075</t>
  </si>
  <si>
    <t xml:space="preserve">Mr. Sanphet </t>
  </si>
  <si>
    <t>Jaisamruam</t>
  </si>
  <si>
    <t>0076</t>
  </si>
  <si>
    <t xml:space="preserve">Mr. Surached </t>
  </si>
  <si>
    <t>Suknate</t>
  </si>
  <si>
    <t>Certifying staff</t>
  </si>
  <si>
    <t>- B777-200
- B777-200/300
- A380 (RR TRENT 900)
- BOEING 787-8 (RR RB 211 TRENT 1000)
- BOEING 787-8/9 (RR RB 211 TRENT 1000)
- BOEING 787-8/9/10 (GEnx)</t>
  </si>
  <si>
    <t>Thepthaiya</t>
  </si>
  <si>
    <t>B737-600/700/800/900 (CFM56)</t>
  </si>
  <si>
    <t>0078</t>
  </si>
  <si>
    <t xml:space="preserve">Mr. Thanayut </t>
  </si>
  <si>
    <t>Maneesri</t>
  </si>
  <si>
    <t>Jaisupap</t>
  </si>
  <si>
    <t>Certifying staff (A320/B737NG/E190)</t>
  </si>
  <si>
    <t>- A319/A320/A321 (IAE V2500)
- B737-600/700/800/900 (CFM56)</t>
  </si>
  <si>
    <t>0080</t>
  </si>
  <si>
    <t xml:space="preserve">Mr. Darunbhob </t>
  </si>
  <si>
    <t>Gurana</t>
  </si>
  <si>
    <t>Certifying Staff (B777/B787)</t>
  </si>
  <si>
    <t>- B777-200/300 (RR Trent 800)
- B777-200/300 (GE90)
- B787-8/9 (RR RB211 Trent 1000)
- B787-8/9/10 (GEnx)</t>
  </si>
  <si>
    <t>0081</t>
  </si>
  <si>
    <t xml:space="preserve">Mr. Theerapong </t>
  </si>
  <si>
    <t>Nontakaew</t>
  </si>
  <si>
    <t>Certifying staff A320</t>
  </si>
  <si>
    <t>- SOCATA TB-9
- A320
- A319/A320/A321 (IAE V2500)
- A318/A319/A320/321 (CFM56)
- AIRBUS A319/320/321 (IAE PW 1100G)
AIRBUS A319/A320/A321 (CFM LEAP-1A)</t>
  </si>
  <si>
    <t>0082</t>
  </si>
  <si>
    <t xml:space="preserve">Mr. Pongnarin </t>
  </si>
  <si>
    <t>Wongsubun</t>
  </si>
  <si>
    <t>- CESSNA 150
- B747-400
- A319/320/321 (A&amp;P ONLY)
- A380 (RR TRENT 900)
- A319/A320/321 (IAE V2500)
- AIRBUS A318/A319/A320/A321 (CFM56)
- AIRBUS A319/A320/A321 (CFM LEAP-1A)</t>
  </si>
  <si>
    <t>0083</t>
  </si>
  <si>
    <t xml:space="preserve">Mr. Chantit </t>
  </si>
  <si>
    <t>Leksongneon</t>
  </si>
  <si>
    <t>A320 (IAE V2500, PW1100G, CFM56, LEAP-1A)</t>
  </si>
  <si>
    <t>0084</t>
  </si>
  <si>
    <t xml:space="preserve">Mr. Kosol </t>
  </si>
  <si>
    <t>Suwanasri</t>
  </si>
  <si>
    <t>- B777-200/300
- BOEING 787-8 (RR RB 211 TRENT 1000)
- BOEING 787-8/9 (RR RB211 TRENT 1000)
- BOEING 777-200/300 (GE90)
- BOEING 787-10 (RR RB 211 TRENT1000)
- BOEING 787-8/9 (GEnx)
- BOEING 787-8/9/10 (GEnx)</t>
  </si>
  <si>
    <t>Suwannarat</t>
  </si>
  <si>
    <t xml:space="preserve">   Certifying staff at HKT</t>
  </si>
  <si>
    <t xml:space="preserve"> - A318/A319/A320/321 A&amp;P ONLY
- A319/A320/A321 (IAE V2500)
- B737-600/700/800/900 (CFM56)
- AIRBUS A318/A319/A320/A321 (CFM56)
- BOEING 737-8 (CFM LEAP-1B)
- AIRBUS A319/320/321 (IAE PW1100G)
 - BOEING 737-7/8/9 (CFM ;LEAP-1B)
- AIRBUS A319/A320/A321 (CFM LEAP-1A)
- AIRBUS A350 (RR TRENT XWB)</t>
  </si>
  <si>
    <t>Chanachai</t>
  </si>
  <si>
    <t>- B767-200/300 (PW-JT9D/PW4000)
- B767-300 (RR RB211)
- BOEING B737-600/700/800/900 (CFM56)</t>
  </si>
  <si>
    <t>N/A.</t>
  </si>
  <si>
    <t>0091</t>
  </si>
  <si>
    <t xml:space="preserve">Mr. Chaiyo </t>
  </si>
  <si>
    <t>Mueyang</t>
  </si>
  <si>
    <t>AIRBUS A318/A319/A320/A321 (CFM56)
AIRBUS A318/A319/A320/A321 (CFM Leap-1A)</t>
  </si>
  <si>
    <t>0094</t>
  </si>
  <si>
    <t>Mr. Natthakit</t>
  </si>
  <si>
    <t>Sangpum</t>
  </si>
  <si>
    <t>Aircraft Mechanic HKT</t>
  </si>
  <si>
    <t>0095</t>
  </si>
  <si>
    <t xml:space="preserve">Mr. Chirdsil </t>
  </si>
  <si>
    <t>Virulhakieat</t>
  </si>
  <si>
    <t>Chief Station Engineer Esouth</t>
  </si>
  <si>
    <t>- A330-320
- B777-200/300
- A340-500/600
- A330-200/300 WITH TRENT 700 RR ENGINE
- B777-200/300 (RR RB211 TRENT 800)
- BOEING 777-200/300 (GE90)</t>
  </si>
  <si>
    <t>0096</t>
  </si>
  <si>
    <t>Mr. Komkrit</t>
  </si>
  <si>
    <t>Somrak</t>
  </si>
  <si>
    <t>Jina</t>
  </si>
  <si>
    <t>Bungswang</t>
  </si>
  <si>
    <t>Chief Station Engineer North</t>
  </si>
  <si>
    <t>A320 (CFM, LEAP,PW1100G, IAEV2500), B737NG, B737 MAX</t>
  </si>
  <si>
    <t>0102</t>
  </si>
  <si>
    <t>Mr. Jamnong</t>
  </si>
  <si>
    <t>Trisak</t>
  </si>
  <si>
    <t>-A330/600/600R/A310
- B777-200/300
- B767-300 (CF6-80C2) &amp; PW4056 ENGINES)
- B787-8 (GEnx)
- BOEING 787-8 (RR RB 211 TRENT 1000)
- BOEING 777-200/300 (GE90) 
- BOEING 787-10 (RR RB211 TRENT 1000)
- BOEING 787-8/9 (GEnx)
- BOEING 787-8/9/10 (GEnx)</t>
  </si>
  <si>
    <t>Thongrod</t>
  </si>
  <si>
    <t>0105</t>
  </si>
  <si>
    <t>Ms. Neeranuch</t>
  </si>
  <si>
    <t>Dokbua</t>
  </si>
  <si>
    <t>Safety Officer (Occupation Health Safety)</t>
  </si>
  <si>
    <t>0112</t>
  </si>
  <si>
    <t>Mr. Jakrapong</t>
  </si>
  <si>
    <t>Wachararangsee</t>
  </si>
  <si>
    <t>Director of Technical Services</t>
  </si>
  <si>
    <t>0119</t>
  </si>
  <si>
    <t>Mr. Tanawat</t>
  </si>
  <si>
    <t>Rodcharoen</t>
  </si>
  <si>
    <t>Certifying Staff (B787)</t>
  </si>
  <si>
    <t>B787-8/9/10(Genx),RB211 Trent 1000
B787-8/9 RB211 Trent 1000</t>
  </si>
  <si>
    <t>0122</t>
  </si>
  <si>
    <t xml:space="preserve">Mr. Athit </t>
  </si>
  <si>
    <t>Kriengjitti</t>
  </si>
  <si>
    <t>Technical Services Executive</t>
  </si>
  <si>
    <t>0124</t>
  </si>
  <si>
    <t>Mr. Norasate</t>
  </si>
  <si>
    <t>Phuaktes</t>
  </si>
  <si>
    <t>Certifying Staff</t>
  </si>
  <si>
    <t>0126</t>
  </si>
  <si>
    <t xml:space="preserve">Mr. Yuttasak </t>
  </si>
  <si>
    <t>Chaihongthongkul</t>
  </si>
  <si>
    <t>- A318/A319/A320/A321 (CFM56)
- A319/A320/A321 (IAE V2500)
- A319/A320/A321 (CFM LEAP-1A)</t>
  </si>
  <si>
    <t>0128</t>
  </si>
  <si>
    <t xml:space="preserve">Mr. Krittisak </t>
  </si>
  <si>
    <t>Limtrakul</t>
  </si>
  <si>
    <t>Store and Purchase Officer</t>
  </si>
  <si>
    <t>0130</t>
  </si>
  <si>
    <t>Patailapa</t>
  </si>
  <si>
    <t>A318/A319/A320/A321 (CFM56, CFM LEAP-1A)
B737-300/400/500(CFM56)</t>
  </si>
  <si>
    <t>0131</t>
  </si>
  <si>
    <t>Ms. Supichaya</t>
  </si>
  <si>
    <t>Phothisunghirun</t>
  </si>
  <si>
    <t>Compliance Control Executive</t>
  </si>
  <si>
    <t>0132</t>
  </si>
  <si>
    <t>Mr. Kittithat</t>
  </si>
  <si>
    <t>Lueadee</t>
  </si>
  <si>
    <t>0133</t>
  </si>
  <si>
    <t>Mr. Sunan</t>
  </si>
  <si>
    <t>Smaimak</t>
  </si>
  <si>
    <t>Senior Mechanic</t>
  </si>
  <si>
    <t>- CESSNA-150
B777-200/300
N767-300 (CF6-80C2 &amp; PW4056 Engines)
-B777-300ER
-A380 (RR TRENT 900)</t>
  </si>
  <si>
    <t>0134</t>
  </si>
  <si>
    <t>Mr. Atichart</t>
  </si>
  <si>
    <t>Muenchamroen</t>
  </si>
  <si>
    <t>0135</t>
  </si>
  <si>
    <t>Mr. Passawin</t>
  </si>
  <si>
    <t>Thongrasamee</t>
  </si>
  <si>
    <t>0138</t>
  </si>
  <si>
    <t>Mr. Somgiat</t>
  </si>
  <si>
    <t>Tuaklang</t>
  </si>
  <si>
    <t>Senior Aircraft Mechanic</t>
  </si>
  <si>
    <t>0139</t>
  </si>
  <si>
    <t xml:space="preserve">Mr. Visit </t>
  </si>
  <si>
    <t>Chalopathump</t>
  </si>
  <si>
    <t>- A318/A319/A320/A321 (CFM56)
- A319/A320/A321 (IAE V2500)
- A380 (RR RB 211 Trent 900)</t>
  </si>
  <si>
    <t>0140</t>
  </si>
  <si>
    <t>Mr. Fonthip</t>
  </si>
  <si>
    <t>Okoun</t>
  </si>
  <si>
    <t>-CESSNA-150
-Unpressurized Piston Engine Airplanes
Not exceed MTOW 5,700 kgs.
-B747-400
-B777-200 / 300
-B777-300ER (Excluding Engine Run-Up)
-B767-300(PW4000 / CF6-80C2)</t>
  </si>
  <si>
    <t>0142</t>
  </si>
  <si>
    <t>Mr. Sumete</t>
  </si>
  <si>
    <t>Takum</t>
  </si>
  <si>
    <t>Aircraft Mechanic (CNX)</t>
  </si>
  <si>
    <t>0144</t>
  </si>
  <si>
    <t>Mr. Piyaphan</t>
  </si>
  <si>
    <t>Channok</t>
  </si>
  <si>
    <t>-B777-200/300/200ER
-B777-300ER
-B737-600/700/800/900 (CFM 56)
-AIRBUS A350 (RR TRENT XWB)</t>
  </si>
  <si>
    <t>0145</t>
  </si>
  <si>
    <t>Mr. Nattapon</t>
  </si>
  <si>
    <t>Ardniam</t>
  </si>
  <si>
    <t>0146</t>
  </si>
  <si>
    <t xml:space="preserve">Mr. Asawaruksa </t>
  </si>
  <si>
    <t>Boonkerd</t>
  </si>
  <si>
    <t>0147</t>
  </si>
  <si>
    <t>Mr. Sontaya</t>
  </si>
  <si>
    <t>Sarakum</t>
  </si>
  <si>
    <t>0148</t>
  </si>
  <si>
    <t>Mr. Suthep</t>
  </si>
  <si>
    <t>Kumpong</t>
  </si>
  <si>
    <t>Soitip</t>
  </si>
  <si>
    <t>-Airbus A318/A319/A320/A321 (CFM56)
-Boeing 737-7/8/9/10 (CFM LEAP-1B)</t>
  </si>
  <si>
    <t>0151</t>
  </si>
  <si>
    <t>Mr. Anusorn</t>
  </si>
  <si>
    <t>Pothard</t>
  </si>
  <si>
    <t>0154</t>
  </si>
  <si>
    <t>Mr. Surapon</t>
  </si>
  <si>
    <t>Kro-tha</t>
  </si>
  <si>
    <t>0155</t>
  </si>
  <si>
    <t>Mr. Sittipon</t>
  </si>
  <si>
    <t>Petruanthong</t>
  </si>
  <si>
    <t>- BOEING 777-200/300 (GE90)
- BOEING 777-200/300 (RR RB211 TRENT800)
- AIRBUS A350 (RR TRENT XWB)</t>
  </si>
  <si>
    <t>0156</t>
  </si>
  <si>
    <t>Mr. Thinnaphop</t>
  </si>
  <si>
    <t>Prompaeng</t>
  </si>
  <si>
    <t>0165</t>
  </si>
  <si>
    <t>Mr. Kittitat </t>
  </si>
  <si>
    <t>Witaskij</t>
  </si>
  <si>
    <t>Store and Purchase Executive</t>
  </si>
  <si>
    <t>0166</t>
  </si>
  <si>
    <t>Mr. Tharadol</t>
  </si>
  <si>
    <t>Muangmin</t>
  </si>
  <si>
    <t>0167</t>
  </si>
  <si>
    <t>Maladtang</t>
  </si>
  <si>
    <t>-A318/A319/A320/A321 (IAE V2500) (CFM56)
- A330-300  (PW4164/4168) (RR Trent 700) (GE CF6)</t>
  </si>
  <si>
    <t>0168</t>
  </si>
  <si>
    <t>Hemtanan</t>
  </si>
  <si>
    <t>Senior Aircraft mechanic</t>
  </si>
  <si>
    <t>- B737-600/700/800/900 (CFM 56)
- B737-7-8-9 (CFM LEAP-1B)
- A330-200/300 (RR Trent 700)</t>
  </si>
  <si>
    <t>0170</t>
  </si>
  <si>
    <t>Mr. Chakthong</t>
  </si>
  <si>
    <t>Jaipakdee</t>
  </si>
  <si>
    <t>Aircraft mechanic</t>
  </si>
  <si>
    <t>0173</t>
  </si>
  <si>
    <t>Mr. Suriyavit</t>
  </si>
  <si>
    <t>Nimjan</t>
  </si>
  <si>
    <t>0174</t>
  </si>
  <si>
    <t xml:space="preserve">Mr. Tanongsak </t>
  </si>
  <si>
    <t>Prasong</t>
  </si>
  <si>
    <t>0175</t>
  </si>
  <si>
    <t>Mr. Tanawoot</t>
  </si>
  <si>
    <t>Karpkerd</t>
  </si>
  <si>
    <t>0176</t>
  </si>
  <si>
    <t>Mr. Apirak</t>
  </si>
  <si>
    <t>Chamnanwetee</t>
  </si>
  <si>
    <t>0177</t>
  </si>
  <si>
    <t>Mr. Perasak</t>
  </si>
  <si>
    <t>Kantuvanon</t>
  </si>
  <si>
    <t>Aircraft  Technician Assistant</t>
  </si>
  <si>
    <t>0178</t>
  </si>
  <si>
    <t>Mr.Warunyoo</t>
  </si>
  <si>
    <t>Keeranan</t>
  </si>
  <si>
    <t>0179</t>
  </si>
  <si>
    <t>Meesap</t>
  </si>
  <si>
    <t>Store and Purchase Executives</t>
  </si>
  <si>
    <t>0180</t>
  </si>
  <si>
    <t>Mr. Wissarut</t>
  </si>
  <si>
    <t>Thitithornnara</t>
  </si>
  <si>
    <t>0182</t>
  </si>
  <si>
    <t>Mr. Chakkrit</t>
  </si>
  <si>
    <t>Kaewmukda</t>
  </si>
  <si>
    <t>- B737-600/700/800/900 (CFM 56)</t>
  </si>
  <si>
    <t>0185</t>
  </si>
  <si>
    <t>Mr. Nitiruth</t>
  </si>
  <si>
    <t xml:space="preserve">Panjapongrangsi </t>
  </si>
  <si>
    <t>- B737-600/700/800/900 (CFM 56)
-B767-200/300</t>
  </si>
  <si>
    <t>0125</t>
  </si>
  <si>
    <t>Mr. Sathit</t>
  </si>
  <si>
    <t>Nantharatanapong</t>
  </si>
  <si>
    <t>0169</t>
  </si>
  <si>
    <t>Mr. Sarun</t>
  </si>
  <si>
    <t>Boonyasitisopon</t>
  </si>
  <si>
    <t>0186</t>
  </si>
  <si>
    <t>Mr. Suriya</t>
  </si>
  <si>
    <t>Sudthanee</t>
  </si>
  <si>
    <t>- B737-600/700/800/900 (CFM 56)
-B737-8/9 (CFM LEAP-1B)</t>
  </si>
  <si>
    <t>0187</t>
  </si>
  <si>
    <t>Mr. Pawinchai</t>
  </si>
  <si>
    <t>Chanakul</t>
  </si>
  <si>
    <t>- B737-600/700/800/900 (CFM 56)
-B767-200/300 (CF6-80/RB211/JT9D)</t>
  </si>
  <si>
    <t>0189</t>
  </si>
  <si>
    <t>Mr. Athiwat</t>
  </si>
  <si>
    <t>Kaeoset</t>
  </si>
  <si>
    <t>0181</t>
  </si>
  <si>
    <t>Mr.Chutaweep</t>
  </si>
  <si>
    <t>Nammuangpak</t>
  </si>
  <si>
    <t>0171</t>
  </si>
  <si>
    <t>Ma.Rose</t>
  </si>
  <si>
    <t>Ann Agustin Toral</t>
  </si>
  <si>
    <t>Triannee (Aircraft Mechanic)</t>
  </si>
  <si>
    <t>0172</t>
  </si>
  <si>
    <t>Isuru Lakshan</t>
  </si>
  <si>
    <t>Kolonne App</t>
  </si>
  <si>
    <t xml:space="preserve">                            </t>
  </si>
  <si>
    <t>Technical Training Record Monitoring</t>
  </si>
  <si>
    <t>Human Factors2</t>
  </si>
  <si>
    <t>Aviation Security Awareness</t>
  </si>
  <si>
    <t>Aviation Security Awareness4</t>
  </si>
  <si>
    <t>Aircraft General Familiarization (A318/A319/A320/321) and relevant technology8</t>
  </si>
  <si>
    <t>Company Policy, Procedures (MOE&amp;TPM) and 145 CAAT Laws and Regulations</t>
  </si>
  <si>
    <t>Aircraft Type (B737-600/700/800/900 (CFM56)) and relevant technology12</t>
  </si>
  <si>
    <t>Aircraft Type (B737-7/8/9 (CFM LEAP-1B)) and relevant technology13</t>
  </si>
  <si>
    <t>Aircraft Type (A318/A319/A320/A321) and relevant technology14</t>
  </si>
  <si>
    <t>Aircraft Parts and Material Receiving</t>
  </si>
  <si>
    <t>Aircraft Parts and Material Receiving15</t>
  </si>
  <si>
    <t>Aircraft Inspection Techniques16</t>
  </si>
  <si>
    <t>CFM56 Engine Borescope Inspection17</t>
  </si>
  <si>
    <t>PW150 Engine Borescope Inspection</t>
  </si>
  <si>
    <t>PW150 Engine Borescope Inspection18</t>
  </si>
  <si>
    <t>Internal Audit</t>
  </si>
  <si>
    <t>Internal Audit20</t>
  </si>
  <si>
    <t>Lead Auditor21</t>
  </si>
  <si>
    <t>Train the Trainer22</t>
  </si>
  <si>
    <t>1.</t>
  </si>
  <si>
    <t>0007</t>
  </si>
  <si>
    <t>Mr. Kittisak</t>
  </si>
  <si>
    <t>Jaikham</t>
  </si>
  <si>
    <t>CEO/Accountable Manager</t>
  </si>
  <si>
    <t>-Jun-15</t>
  </si>
  <si>
    <t>-Oct-15</t>
  </si>
  <si>
    <t>2.</t>
  </si>
  <si>
    <t>0002</t>
  </si>
  <si>
    <t>Mr. Kosol</t>
  </si>
  <si>
    <t>Onnuam</t>
  </si>
  <si>
    <t>3.</t>
  </si>
  <si>
    <t>0015</t>
  </si>
  <si>
    <t>Mr. Boonlux</t>
  </si>
  <si>
    <t>Sawatanupap</t>
  </si>
  <si>
    <t>Technical Manager</t>
  </si>
  <si>
    <t>4.</t>
  </si>
  <si>
    <t>0016</t>
  </si>
  <si>
    <t>Ms. Nunchanok</t>
  </si>
  <si>
    <t>Hantaku</t>
  </si>
  <si>
    <t>5.</t>
  </si>
  <si>
    <t>0004</t>
  </si>
  <si>
    <t>Ms. Wilasinee</t>
  </si>
  <si>
    <t>Nakhwan</t>
  </si>
  <si>
    <t>QA Executive
Acting Training Staff</t>
  </si>
  <si>
    <t>6.</t>
  </si>
  <si>
    <t>0009</t>
  </si>
  <si>
    <t>Ms. Araya</t>
  </si>
  <si>
    <t>Jantajamratpanya</t>
  </si>
  <si>
    <t>Engineering &amp; Planning</t>
  </si>
  <si>
    <t>7.</t>
  </si>
  <si>
    <t>8.</t>
  </si>
  <si>
    <t>Certifying Staff 
(B737-600/700/800/900 (CFM56))
(B737-7/8/9 (CFM56 LEAP-1B)</t>
  </si>
  <si>
    <t>9.</t>
  </si>
  <si>
    <t>0008</t>
  </si>
  <si>
    <t>Mr. Govit</t>
  </si>
  <si>
    <t>Vanichkam</t>
  </si>
  <si>
    <t>Aircraft Mechanic
Store Inspector</t>
  </si>
  <si>
    <t>10.</t>
  </si>
  <si>
    <t>0014</t>
  </si>
  <si>
    <t>Mr. Santipap</t>
  </si>
  <si>
    <t>Satsang</t>
  </si>
  <si>
    <t>11.</t>
  </si>
  <si>
    <t>0011</t>
  </si>
  <si>
    <t>Mr. Pongsathorn</t>
  </si>
  <si>
    <t>Teekeng</t>
  </si>
  <si>
    <t>Safety Staff</t>
  </si>
  <si>
    <t>12.</t>
  </si>
  <si>
    <t>0018</t>
  </si>
  <si>
    <t>Ms. Tidarat</t>
  </si>
  <si>
    <t>Poomsawang</t>
  </si>
  <si>
    <t>QA Executive</t>
  </si>
  <si>
    <t>13.</t>
  </si>
  <si>
    <t>0019</t>
  </si>
  <si>
    <t>Mr. Worratus</t>
  </si>
  <si>
    <t>Phumphuang</t>
  </si>
  <si>
    <t>14.</t>
  </si>
  <si>
    <t>15.</t>
  </si>
  <si>
    <t>0021</t>
  </si>
  <si>
    <t>Mr. Songphon</t>
  </si>
  <si>
    <t>Imnamkhao</t>
  </si>
  <si>
    <t>16.</t>
  </si>
  <si>
    <t>0023</t>
  </si>
  <si>
    <t xml:space="preserve">Mr. Sirote </t>
  </si>
  <si>
    <t>Mattaphant</t>
  </si>
  <si>
    <t>Certifying Staff
(B737-7/8/9 (CFM56 LEAP-1B)</t>
  </si>
  <si>
    <t> </t>
  </si>
  <si>
    <t>Mandatory Course</t>
  </si>
  <si>
    <t>Employee ID</t>
  </si>
  <si>
    <t>Name - Surname</t>
  </si>
  <si>
    <t>K-Mile
Documentation &amp; Procedure Training2</t>
  </si>
  <si>
    <t>Qingdao
Documentation &amp; Procedure Training3</t>
  </si>
  <si>
    <t>CEBU
Documentation &amp; Procedure Training2</t>
  </si>
  <si>
    <t>1</t>
  </si>
  <si>
    <t>0001</t>
  </si>
  <si>
    <t>Mr. Anake</t>
  </si>
  <si>
    <t>Ngernprasertsiri</t>
  </si>
  <si>
    <t>Advisor to CEO</t>
  </si>
  <si>
    <t>2</t>
  </si>
  <si>
    <t>0003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</si>
  <si>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</si>
  <si>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</si>
  <si>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</si>
  <si>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</si>
  <si>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</si>
  <si>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</si>
  <si>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</si>
  <si>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</si>
  <si>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</si>
  <si>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</si>
  <si>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</si>
  <si>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0026</t>
  </si>
  <si>
    <t>Mr. Pongpat</t>
  </si>
  <si>
    <t>Chankrachang</t>
  </si>
  <si>
    <t>14</t>
  </si>
  <si>
    <t>15</t>
  </si>
  <si>
    <t>0034</t>
  </si>
  <si>
    <t>Mr. Surapun</t>
  </si>
  <si>
    <t>Tunsaentawee</t>
  </si>
  <si>
    <t>Certifying Staff (B737-7/8/9 (CFM56 LEAP-1B), (A320)</t>
  </si>
  <si>
    <t>16</t>
  </si>
  <si>
    <t>0006</t>
  </si>
  <si>
    <t>Mr. Eknut</t>
  </si>
  <si>
    <t>Wittaya</t>
  </si>
  <si>
    <t>17</t>
  </si>
  <si>
    <t>18</t>
  </si>
  <si>
    <t>0062</t>
  </si>
  <si>
    <t>Ms. Prapatsorn</t>
  </si>
  <si>
    <t>Boonsang</t>
  </si>
  <si>
    <t>Engineering and Planning</t>
  </si>
  <si>
    <t>19</t>
  </si>
  <si>
    <t>0024</t>
  </si>
  <si>
    <t>Mr. Dhechit</t>
  </si>
  <si>
    <t>Reanpracha</t>
  </si>
  <si>
    <t>20</t>
  </si>
  <si>
    <t>0048</t>
  </si>
  <si>
    <t>Ms. Pansachon</t>
  </si>
  <si>
    <t>Mala</t>
  </si>
  <si>
    <t>Safety Executive</t>
  </si>
  <si>
    <t>21</t>
  </si>
  <si>
    <t>0037</t>
  </si>
  <si>
    <t>Mr. Abhisit</t>
  </si>
  <si>
    <t>Bumrungkiyjaroen</t>
  </si>
  <si>
    <t>Certifying Staff (BSI)</t>
  </si>
  <si>
    <t>22</t>
  </si>
  <si>
    <t>0033</t>
  </si>
  <si>
    <t>Ms. Salina</t>
  </si>
  <si>
    <t>Joeytong</t>
  </si>
  <si>
    <t>23</t>
  </si>
  <si>
    <t>0031</t>
  </si>
  <si>
    <t xml:space="preserve">Mr. Soe </t>
  </si>
  <si>
    <t>Thiha</t>
  </si>
  <si>
    <t>Deputy Managing Director</t>
  </si>
  <si>
    <t>24</t>
  </si>
  <si>
    <t>0069</t>
  </si>
  <si>
    <t xml:space="preserve">Ms. Nukool </t>
  </si>
  <si>
    <t>Poopadkiew</t>
  </si>
  <si>
    <t>Safety Management Executive</t>
  </si>
  <si>
    <t>25</t>
  </si>
  <si>
    <t xml:space="preserve">Mr. Udomdet </t>
  </si>
  <si>
    <t>Detudomsut</t>
  </si>
  <si>
    <t>Resigned Effective Date: April 01, 2025</t>
  </si>
  <si>
    <t>26</t>
  </si>
  <si>
    <t>0101</t>
  </si>
  <si>
    <t>Mr. Saroj</t>
  </si>
  <si>
    <t>Narkhan</t>
  </si>
  <si>
    <t>Director of Line and Base Maintenance</t>
  </si>
  <si>
    <t>A330-200/300 Trent 700</t>
  </si>
  <si>
    <t>27</t>
  </si>
  <si>
    <t>0120</t>
  </si>
  <si>
    <t>Mr. Sommai</t>
  </si>
  <si>
    <t>Puthorn</t>
  </si>
  <si>
    <t>Director of Line &amp; Base Maintenance</t>
  </si>
  <si>
    <t>28</t>
  </si>
  <si>
    <t>0035</t>
  </si>
  <si>
    <t>Mr. Htoo</t>
  </si>
  <si>
    <t>Htoo Zaw</t>
  </si>
  <si>
    <t>Deputy Compliance Monitoring Manager</t>
  </si>
  <si>
    <t>29</t>
  </si>
  <si>
    <t>0050</t>
  </si>
  <si>
    <t>Mr. Peerapol</t>
  </si>
  <si>
    <t>Wongcharoenwattana</t>
  </si>
  <si>
    <t>Aircraft Mechanic (Base HKT Station)</t>
  </si>
  <si>
    <t>30</t>
  </si>
  <si>
    <t>0066</t>
  </si>
  <si>
    <t>Ms. Chaninya</t>
  </si>
  <si>
    <t>Suknok</t>
  </si>
  <si>
    <t>31</t>
  </si>
  <si>
    <t>0074</t>
  </si>
  <si>
    <t xml:space="preserve">Ms. Yanisa </t>
  </si>
  <si>
    <t>Rittimon</t>
  </si>
  <si>
    <t>32</t>
  </si>
  <si>
    <t>0088</t>
  </si>
  <si>
    <t>Ms. Wannasri</t>
  </si>
  <si>
    <t>Somboonpaisan</t>
  </si>
  <si>
    <t>33</t>
  </si>
  <si>
    <t>0098</t>
  </si>
  <si>
    <t xml:space="preserve">Mr. Niltanate </t>
  </si>
  <si>
    <t>Sona-oun</t>
  </si>
  <si>
    <t>0046</t>
  </si>
  <si>
    <t>Ms. Virunya</t>
  </si>
  <si>
    <t>Kupatithammagul</t>
  </si>
  <si>
    <t>0129</t>
  </si>
  <si>
    <t>Ms. Pichaporn</t>
  </si>
  <si>
    <t>Nampolsaen</t>
  </si>
  <si>
    <t>Store and Purchase Manager</t>
  </si>
  <si>
    <t>0152</t>
  </si>
  <si>
    <t>Ms. Sirinat</t>
  </si>
  <si>
    <t>Rattanawekin</t>
  </si>
  <si>
    <t>0160</t>
  </si>
  <si>
    <t>Ms. Sayuri</t>
  </si>
  <si>
    <t>Ojima</t>
  </si>
  <si>
    <t>Trainee Store and Purchase</t>
  </si>
  <si>
    <t>0149</t>
  </si>
  <si>
    <t xml:space="preserve">Mr. Peera </t>
  </si>
  <si>
    <t>Thabthong</t>
  </si>
  <si>
    <t>Mr. Sumate</t>
  </si>
  <si>
    <t>Mr. Jeerawatchr</t>
  </si>
  <si>
    <t>Thongchoti</t>
  </si>
  <si>
    <t>0159</t>
  </si>
  <si>
    <t>Gero Chakkri</t>
  </si>
  <si>
    <t>Immel</t>
  </si>
  <si>
    <t>Trainee aircraft mechanic</t>
  </si>
  <si>
    <t>0009
Aeroplane</t>
  </si>
  <si>
    <t>Ms. Pimchanok</t>
  </si>
  <si>
    <t>Sathianthananan</t>
  </si>
  <si>
    <t>Technical Services Assistant</t>
  </si>
  <si>
    <t>Nok11845</t>
  </si>
  <si>
    <t xml:space="preserve">Mr. Bodin </t>
  </si>
  <si>
    <t>Ounsuchart</t>
  </si>
  <si>
    <t>Nok11866</t>
  </si>
  <si>
    <t xml:space="preserve">Mr. Samrit </t>
  </si>
  <si>
    <t>Janrod</t>
  </si>
  <si>
    <t>Nok14333</t>
  </si>
  <si>
    <t>Mr. Theerapat</t>
  </si>
  <si>
    <t>Tubtimorn</t>
  </si>
  <si>
    <t>Nok15509</t>
  </si>
  <si>
    <t>Mr. Poowadet</t>
  </si>
  <si>
    <t>Ruangburop</t>
  </si>
  <si>
    <t>Nok14801</t>
  </si>
  <si>
    <t>Mr. Noppadol</t>
  </si>
  <si>
    <t>Pikulthong</t>
  </si>
  <si>
    <t>Nok14697</t>
  </si>
  <si>
    <t xml:space="preserve"> Mr.Anuphong</t>
  </si>
  <si>
    <t>No-inkaew</t>
  </si>
  <si>
    <t>Nok15444</t>
  </si>
  <si>
    <t>Mr. Ittipol</t>
  </si>
  <si>
    <t>Yuoangpongkaew</t>
  </si>
  <si>
    <t>Mr. Phuvadej</t>
  </si>
  <si>
    <t>Vuddhijinda</t>
  </si>
  <si>
    <t>Nok12330</t>
  </si>
  <si>
    <t xml:space="preserve">Mr. Kumpanat </t>
  </si>
  <si>
    <t>Prachayagit</t>
  </si>
  <si>
    <t>Nok11764</t>
  </si>
  <si>
    <t xml:space="preserve">Mr. Panuwat </t>
  </si>
  <si>
    <t>Santech</t>
  </si>
  <si>
    <t>Nok12052</t>
  </si>
  <si>
    <t>Mr. Chatchawan</t>
  </si>
  <si>
    <t>Teepana</t>
  </si>
  <si>
    <t>Nok14798</t>
  </si>
  <si>
    <t xml:space="preserve">Mr. Chaiwat </t>
  </si>
  <si>
    <t>Tanintrawat</t>
  </si>
  <si>
    <t>Nok14021</t>
  </si>
  <si>
    <t>Mr. Nuttanon</t>
  </si>
  <si>
    <t>Sanit</t>
  </si>
  <si>
    <t>Resign Satff</t>
  </si>
  <si>
    <t xml:space="preserve">Resigned </t>
  </si>
  <si>
    <t>Nok10894</t>
  </si>
  <si>
    <t xml:space="preserve">Mr. Nopparat </t>
  </si>
  <si>
    <t>Norrasing</t>
  </si>
  <si>
    <t>Nok11852</t>
  </si>
  <si>
    <t>Mr. Nattapachr</t>
  </si>
  <si>
    <t>Jirakulwarapong</t>
  </si>
  <si>
    <t>Nok13016</t>
  </si>
  <si>
    <t>Mr. Teerawat</t>
  </si>
  <si>
    <t>Oontuang</t>
  </si>
  <si>
    <t>Nok13341</t>
  </si>
  <si>
    <t>Mr. Anurak</t>
  </si>
  <si>
    <t>Banjong</t>
  </si>
  <si>
    <t>Nok12185</t>
  </si>
  <si>
    <t xml:space="preserve">Mr. Siwat </t>
  </si>
  <si>
    <t>Kunpichaisit</t>
  </si>
  <si>
    <t>Nok14705</t>
  </si>
  <si>
    <t>Mr. Peeranut</t>
  </si>
  <si>
    <t>Yurasakpong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</si>
</sst>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[$-409]d\-mmm\-yyyy;@"/>
    <numFmt numFmtId="166" formatCode="B1d\-mmm\-yy"/>
    <numFmt numFmtId="167" formatCode="[$-409]dd\-mmm\-yy;@"/>
    <numFmt numFmtId="168" formatCode="[$-409]d/mmm/yy;@"/>
    <numFmt numFmtId="169" formatCode="[$-409]dd/mmm/yy;@"/>
  </numFmts>
  <fonts count="44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Tahoma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Tahoma"/>
      <family val="2"/>
      <scheme val="minor"/>
    </font>
    <font>
      <sz val="11"/>
      <color rgb="FF000000"/>
      <name val="Calibri"/>
      <family val="2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000000"/>
      <name val="Tahoma"/>
      <family val="2"/>
      <scheme val="minor"/>
    </font>
    <font>
      <sz val="8"/>
      <name val="Tahoma"/>
      <family val="2"/>
      <scheme val="minor"/>
    </font>
    <font>
      <b/>
      <sz val="12"/>
      <color theme="1"/>
      <name val="Cordia New"/>
      <family val="2"/>
    </font>
    <font>
      <sz val="12"/>
      <color theme="1"/>
      <name val="Cordia New"/>
      <family val="2"/>
    </font>
    <font>
      <sz val="12"/>
      <name val="Cordia New"/>
      <family val="2"/>
    </font>
    <font>
      <b/>
      <sz val="12"/>
      <color theme="1"/>
      <name val="Cordia New"/>
      <family val="2"/>
      <charset val="222"/>
    </font>
    <font>
      <b/>
      <sz val="12"/>
      <name val="Cordia New"/>
      <family val="2"/>
    </font>
    <font>
      <b/>
      <sz val="12"/>
      <color rgb="FFFF0000"/>
      <name val="Tahoma"/>
      <family val="2"/>
      <scheme val="minor"/>
    </font>
    <font>
      <b/>
      <sz val="12"/>
      <name val="Tahoma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Tahoma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1"/>
      <color rgb="FF000000"/>
      <name val="Tahoma"/>
      <family val="2"/>
      <scheme val="minor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Tahoma"/>
      <family val="2"/>
      <scheme val="minor"/>
    </font>
    <font>
      <sz val="11"/>
      <color rgb="FFFF0000"/>
      <name val="Calibri"/>
      <family val="2"/>
    </font>
    <font>
      <b/>
      <sz val="12"/>
      <color rgb="FF000000"/>
      <name val="Tahoma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theme="1"/>
      <name val="Calibri"/>
      <family val="2"/>
    </font>
    <font>
      <sz val="14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12"/>
      <color theme="0"/>
      <name val="Calibri"/>
      <family val="2"/>
    </font>
    <font>
      <sz val="12"/>
      <color rgb="FF000000"/>
      <name val="Tahoma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6D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C7A0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 tint="-0.14999847407452621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58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horizontal="center" vertical="top"/>
    </xf>
    <xf numFmtId="0" fontId="7" fillId="2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49" fontId="3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 indent="1"/>
    </xf>
    <xf numFmtId="164" fontId="0" fillId="0" borderId="19" xfId="0" applyNumberFormat="1" applyBorder="1" applyAlignment="1">
      <alignment horizontal="center" vertical="center"/>
    </xf>
    <xf numFmtId="164" fontId="0" fillId="0" borderId="19" xfId="0" quotePrefix="1" applyNumberFormat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164" fontId="0" fillId="0" borderId="20" xfId="0" applyNumberFormat="1" applyBorder="1" applyAlignment="1">
      <alignment horizontal="center" vertical="center"/>
    </xf>
    <xf numFmtId="164" fontId="0" fillId="0" borderId="20" xfId="0" quotePrefix="1" applyNumberFormat="1" applyBorder="1" applyAlignment="1">
      <alignment horizontal="center" vertical="center"/>
    </xf>
    <xf numFmtId="15" fontId="8" fillId="0" borderId="7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 textRotation="90"/>
    </xf>
    <xf numFmtId="0" fontId="5" fillId="4" borderId="24" xfId="0" applyFont="1" applyFill="1" applyBorder="1" applyAlignment="1">
      <alignment horizontal="center" vertical="center" textRotation="90"/>
    </xf>
    <xf numFmtId="0" fontId="6" fillId="6" borderId="13" xfId="0" applyFont="1" applyFill="1" applyBorder="1" applyAlignment="1">
      <alignment vertical="center" textRotation="90" wrapText="1"/>
    </xf>
    <xf numFmtId="0" fontId="6" fillId="6" borderId="14" xfId="0" applyFont="1" applyFill="1" applyBorder="1" applyAlignment="1">
      <alignment vertical="center" textRotation="90" wrapText="1"/>
    </xf>
    <xf numFmtId="0" fontId="6" fillId="8" borderId="14" xfId="0" applyFont="1" applyFill="1" applyBorder="1" applyAlignment="1">
      <alignment vertical="center" textRotation="90" wrapText="1"/>
    </xf>
    <xf numFmtId="0" fontId="6" fillId="7" borderId="14" xfId="0" applyFont="1" applyFill="1" applyBorder="1" applyAlignment="1">
      <alignment vertical="center" textRotation="90" wrapText="1"/>
    </xf>
    <xf numFmtId="0" fontId="6" fillId="7" borderId="15" xfId="0" applyFont="1" applyFill="1" applyBorder="1" applyAlignment="1">
      <alignment vertical="center" textRotation="90" wrapText="1"/>
    </xf>
    <xf numFmtId="0" fontId="5" fillId="4" borderId="25" xfId="0" applyFont="1" applyFill="1" applyBorder="1" applyAlignment="1">
      <alignment horizontal="center" vertical="center" textRotation="90"/>
    </xf>
    <xf numFmtId="0" fontId="5" fillId="4" borderId="2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27" xfId="0" applyFont="1" applyFill="1" applyBorder="1" applyAlignment="1">
      <alignment horizontal="center" vertical="center" textRotation="90"/>
    </xf>
    <xf numFmtId="49" fontId="3" fillId="0" borderId="2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wrapText="1" indent="1"/>
    </xf>
    <xf numFmtId="0" fontId="6" fillId="0" borderId="25" xfId="0" applyFont="1" applyBorder="1" applyAlignment="1">
      <alignment horizontal="left" vertical="center" wrapText="1" indent="1"/>
    </xf>
    <xf numFmtId="15" fontId="8" fillId="0" borderId="25" xfId="0" applyNumberFormat="1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5" xfId="0" quotePrefix="1" applyNumberFormat="1" applyBorder="1" applyAlignment="1">
      <alignment horizontal="center" vertical="center"/>
    </xf>
    <xf numFmtId="164" fontId="0" fillId="0" borderId="30" xfId="0" quotePrefix="1" applyNumberFormat="1" applyBorder="1" applyAlignment="1">
      <alignment horizontal="center" vertical="center"/>
    </xf>
    <xf numFmtId="49" fontId="3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5" fontId="8" fillId="0" borderId="32" xfId="0" applyNumberFormat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10" borderId="32" xfId="0" applyFont="1" applyFill="1" applyBorder="1" applyAlignment="1">
      <alignment vertical="center"/>
    </xf>
    <xf numFmtId="0" fontId="8" fillId="0" borderId="33" xfId="0" quotePrefix="1" applyFont="1" applyBorder="1" applyAlignment="1">
      <alignment vertical="center"/>
    </xf>
    <xf numFmtId="0" fontId="8" fillId="0" borderId="31" xfId="0" quotePrefix="1" applyFont="1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0" fontId="6" fillId="6" borderId="4" xfId="0" applyFont="1" applyFill="1" applyBorder="1" applyAlignment="1">
      <alignment vertical="center" textRotation="90" wrapText="1"/>
    </xf>
    <xf numFmtId="0" fontId="6" fillId="6" borderId="3" xfId="0" applyFont="1" applyFill="1" applyBorder="1" applyAlignment="1">
      <alignment vertical="center" textRotation="90" wrapText="1"/>
    </xf>
    <xf numFmtId="0" fontId="6" fillId="7" borderId="3" xfId="0" applyFont="1" applyFill="1" applyBorder="1" applyAlignment="1">
      <alignment vertical="center" textRotation="90" wrapText="1"/>
    </xf>
    <xf numFmtId="0" fontId="4" fillId="0" borderId="2" xfId="0" applyFont="1" applyBorder="1" applyAlignment="1">
      <alignment horizontal="left" vertical="center" wrapText="1" indent="1"/>
    </xf>
    <xf numFmtId="3" fontId="0" fillId="0" borderId="0" xfId="0" applyNumberFormat="1"/>
    <xf numFmtId="0" fontId="14" fillId="0" borderId="2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166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164" fontId="8" fillId="0" borderId="19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7" borderId="5" xfId="0" applyFont="1" applyFill="1" applyBorder="1" applyAlignment="1">
      <alignment vertical="center" textRotation="90" wrapText="1"/>
    </xf>
    <xf numFmtId="164" fontId="5" fillId="0" borderId="0" xfId="0" quotePrefix="1" applyNumberFormat="1" applyFont="1" applyAlignment="1">
      <alignment vertical="center"/>
    </xf>
    <xf numFmtId="49" fontId="3" fillId="0" borderId="34" xfId="0" applyNumberFormat="1" applyFont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textRotation="90"/>
    </xf>
    <xf numFmtId="0" fontId="7" fillId="2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0" fillId="4" borderId="25" xfId="0" applyFill="1" applyBorder="1"/>
    <xf numFmtId="0" fontId="0" fillId="16" borderId="0" xfId="0" applyFill="1"/>
    <xf numFmtId="167" fontId="0" fillId="0" borderId="19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7" fontId="0" fillId="0" borderId="25" xfId="0" applyNumberForma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49" fontId="3" fillId="21" borderId="2" xfId="0" applyNumberFormat="1" applyFont="1" applyFill="1" applyBorder="1" applyAlignment="1">
      <alignment horizontal="center" vertical="center"/>
    </xf>
    <xf numFmtId="49" fontId="3" fillId="13" borderId="25" xfId="0" applyNumberFormat="1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left" vertical="center" wrapText="1" indent="1"/>
    </xf>
    <xf numFmtId="0" fontId="6" fillId="13" borderId="19" xfId="0" applyFont="1" applyFill="1" applyBorder="1" applyAlignment="1">
      <alignment horizontal="left" vertical="center" wrapText="1" indent="1"/>
    </xf>
    <xf numFmtId="167" fontId="8" fillId="13" borderId="25" xfId="0" applyNumberFormat="1" applyFont="1" applyFill="1" applyBorder="1" applyAlignment="1">
      <alignment horizontal="center" vertical="center"/>
    </xf>
    <xf numFmtId="164" fontId="0" fillId="13" borderId="25" xfId="0" applyNumberFormat="1" applyFill="1" applyBorder="1" applyAlignment="1">
      <alignment horizontal="center" vertical="center"/>
    </xf>
    <xf numFmtId="167" fontId="0" fillId="13" borderId="25" xfId="0" applyNumberFormat="1" applyFill="1" applyBorder="1" applyAlignment="1">
      <alignment horizontal="center" vertical="center"/>
    </xf>
    <xf numFmtId="164" fontId="0" fillId="13" borderId="19" xfId="0" applyNumberFormat="1" applyFill="1" applyBorder="1" applyAlignment="1">
      <alignment horizontal="center" vertical="center"/>
    </xf>
    <xf numFmtId="167" fontId="0" fillId="13" borderId="19" xfId="0" applyNumberFormat="1" applyFill="1" applyBorder="1" applyAlignment="1">
      <alignment horizontal="center" vertical="center"/>
    </xf>
    <xf numFmtId="167" fontId="0" fillId="16" borderId="19" xfId="0" applyNumberFormat="1" applyFill="1" applyBorder="1" applyAlignment="1">
      <alignment horizontal="center" vertical="center"/>
    </xf>
    <xf numFmtId="49" fontId="3" fillId="13" borderId="29" xfId="0" applyNumberFormat="1" applyFont="1" applyFill="1" applyBorder="1" applyAlignment="1">
      <alignment horizontal="center" vertical="center"/>
    </xf>
    <xf numFmtId="49" fontId="3" fillId="24" borderId="2" xfId="0" applyNumberFormat="1" applyFont="1" applyFill="1" applyBorder="1" applyAlignment="1">
      <alignment horizontal="center" vertical="center"/>
    </xf>
    <xf numFmtId="164" fontId="8" fillId="25" borderId="19" xfId="0" applyNumberFormat="1" applyFont="1" applyFill="1" applyBorder="1" applyAlignment="1">
      <alignment horizontal="center" vertical="center"/>
    </xf>
    <xf numFmtId="164" fontId="8" fillId="25" borderId="20" xfId="0" applyNumberFormat="1" applyFont="1" applyFill="1" applyBorder="1" applyAlignment="1">
      <alignment horizontal="center" vertical="center"/>
    </xf>
    <xf numFmtId="164" fontId="0" fillId="25" borderId="20" xfId="0" applyNumberFormat="1" applyFill="1" applyBorder="1" applyAlignment="1">
      <alignment horizontal="center" vertical="center"/>
    </xf>
    <xf numFmtId="164" fontId="0" fillId="25" borderId="19" xfId="0" applyNumberFormat="1" applyFill="1" applyBorder="1" applyAlignment="1">
      <alignment horizontal="center" vertical="center"/>
    </xf>
    <xf numFmtId="167" fontId="8" fillId="25" borderId="25" xfId="0" applyNumberFormat="1" applyFont="1" applyFill="1" applyBorder="1" applyAlignment="1">
      <alignment horizontal="center" vertical="center"/>
    </xf>
    <xf numFmtId="167" fontId="0" fillId="25" borderId="25" xfId="0" applyNumberFormat="1" applyFill="1" applyBorder="1" applyAlignment="1">
      <alignment horizontal="center" vertical="center"/>
    </xf>
    <xf numFmtId="164" fontId="0" fillId="25" borderId="25" xfId="0" applyNumberFormat="1" applyFill="1" applyBorder="1" applyAlignment="1">
      <alignment horizontal="center" vertical="center"/>
    </xf>
    <xf numFmtId="167" fontId="0" fillId="25" borderId="19" xfId="0" applyNumberFormat="1" applyFill="1" applyBorder="1" applyAlignment="1">
      <alignment horizontal="center" vertical="center"/>
    </xf>
    <xf numFmtId="167" fontId="8" fillId="25" borderId="19" xfId="0" applyNumberFormat="1" applyFont="1" applyFill="1" applyBorder="1" applyAlignment="1">
      <alignment horizontal="center" vertical="center"/>
    </xf>
    <xf numFmtId="0" fontId="9" fillId="11" borderId="35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7" fontId="7" fillId="2" borderId="25" xfId="0" applyNumberFormat="1" applyFont="1" applyFill="1" applyBorder="1" applyAlignment="1">
      <alignment horizontal="center" vertical="center"/>
    </xf>
    <xf numFmtId="167" fontId="0" fillId="0" borderId="0" xfId="0" applyNumberFormat="1"/>
    <xf numFmtId="167" fontId="7" fillId="3" borderId="2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16" borderId="29" xfId="0" applyNumberFormat="1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vertical="center" textRotation="90" wrapText="1"/>
    </xf>
    <xf numFmtId="0" fontId="23" fillId="6" borderId="3" xfId="0" applyFont="1" applyFill="1" applyBorder="1" applyAlignment="1">
      <alignment vertical="center" textRotation="90" wrapText="1"/>
    </xf>
    <xf numFmtId="0" fontId="23" fillId="2" borderId="5" xfId="0" applyFont="1" applyFill="1" applyBorder="1" applyAlignment="1">
      <alignment vertical="center" textRotation="90" wrapText="1"/>
    </xf>
    <xf numFmtId="0" fontId="23" fillId="2" borderId="5" xfId="0" applyFont="1" applyFill="1" applyBorder="1" applyAlignment="1">
      <alignment horizontal="center" vertical="center" textRotation="90" wrapText="1"/>
    </xf>
    <xf numFmtId="0" fontId="23" fillId="8" borderId="3" xfId="0" applyFont="1" applyFill="1" applyBorder="1" applyAlignment="1">
      <alignment vertical="center" textRotation="90" wrapText="1"/>
    </xf>
    <xf numFmtId="0" fontId="23" fillId="7" borderId="3" xfId="0" applyFont="1" applyFill="1" applyBorder="1" applyAlignment="1">
      <alignment vertical="center" textRotation="90" wrapText="1"/>
    </xf>
    <xf numFmtId="0" fontId="24" fillId="14" borderId="3" xfId="0" applyFont="1" applyFill="1" applyBorder="1" applyAlignment="1">
      <alignment vertical="center" textRotation="90" wrapText="1"/>
    </xf>
    <xf numFmtId="0" fontId="23" fillId="13" borderId="3" xfId="0" applyFont="1" applyFill="1" applyBorder="1" applyAlignment="1">
      <alignment vertical="center" textRotation="90" wrapText="1"/>
    </xf>
    <xf numFmtId="0" fontId="23" fillId="12" borderId="3" xfId="0" applyFont="1" applyFill="1" applyBorder="1" applyAlignment="1">
      <alignment vertical="center" textRotation="90" wrapText="1"/>
    </xf>
    <xf numFmtId="0" fontId="24" fillId="5" borderId="3" xfId="0" applyFont="1" applyFill="1" applyBorder="1" applyAlignment="1">
      <alignment vertical="center" textRotation="90" wrapText="1"/>
    </xf>
    <xf numFmtId="0" fontId="23" fillId="9" borderId="3" xfId="0" applyFont="1" applyFill="1" applyBorder="1" applyAlignment="1">
      <alignment vertical="center" textRotation="90" wrapText="1"/>
    </xf>
    <xf numFmtId="0" fontId="23" fillId="11" borderId="41" xfId="0" applyFont="1" applyFill="1" applyBorder="1" applyAlignment="1">
      <alignment vertical="center" textRotation="90" wrapText="1"/>
    </xf>
    <xf numFmtId="0" fontId="23" fillId="12" borderId="41" xfId="0" applyFont="1" applyFill="1" applyBorder="1" applyAlignment="1">
      <alignment vertical="center" textRotation="90" wrapText="1"/>
    </xf>
    <xf numFmtId="0" fontId="23" fillId="7" borderId="41" xfId="0" applyFont="1" applyFill="1" applyBorder="1" applyAlignment="1">
      <alignment vertical="center" textRotation="90" wrapText="1"/>
    </xf>
    <xf numFmtId="0" fontId="23" fillId="17" borderId="41" xfId="0" applyFont="1" applyFill="1" applyBorder="1" applyAlignment="1">
      <alignment vertical="center" textRotation="90" wrapText="1"/>
    </xf>
    <xf numFmtId="0" fontId="25" fillId="18" borderId="42" xfId="0" applyFont="1" applyFill="1" applyBorder="1" applyAlignment="1">
      <alignment vertical="center" textRotation="90" wrapText="1"/>
    </xf>
    <xf numFmtId="0" fontId="25" fillId="19" borderId="42" xfId="0" applyFont="1" applyFill="1" applyBorder="1" applyAlignment="1">
      <alignment vertical="center" textRotation="90" wrapText="1"/>
    </xf>
    <xf numFmtId="0" fontId="25" fillId="20" borderId="42" xfId="0" applyFont="1" applyFill="1" applyBorder="1" applyAlignment="1">
      <alignment vertical="center" textRotation="90" wrapText="1"/>
    </xf>
    <xf numFmtId="0" fontId="25" fillId="12" borderId="47" xfId="0" applyFont="1" applyFill="1" applyBorder="1" applyAlignment="1">
      <alignment vertical="center" textRotation="90" wrapText="1"/>
    </xf>
    <xf numFmtId="0" fontId="23" fillId="7" borderId="47" xfId="0" applyFont="1" applyFill="1" applyBorder="1" applyAlignment="1">
      <alignment vertical="center" textRotation="90" wrapText="1"/>
    </xf>
    <xf numFmtId="0" fontId="26" fillId="0" borderId="0" xfId="0" applyFont="1"/>
    <xf numFmtId="0" fontId="23" fillId="2" borderId="25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164" fontId="23" fillId="2" borderId="25" xfId="0" applyNumberFormat="1" applyFont="1" applyFill="1" applyBorder="1" applyAlignment="1">
      <alignment horizontal="center" vertical="center"/>
    </xf>
    <xf numFmtId="164" fontId="23" fillId="2" borderId="37" xfId="0" applyNumberFormat="1" applyFont="1" applyFill="1" applyBorder="1" applyAlignment="1">
      <alignment horizontal="center" vertical="center"/>
    </xf>
    <xf numFmtId="164" fontId="23" fillId="2" borderId="2" xfId="0" applyNumberFormat="1" applyFont="1" applyFill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wrapText="1" indent="1"/>
    </xf>
    <xf numFmtId="164" fontId="26" fillId="0" borderId="19" xfId="0" applyNumberFormat="1" applyFont="1" applyBorder="1" applyAlignment="1">
      <alignment horizontal="center" vertical="center"/>
    </xf>
    <xf numFmtId="164" fontId="26" fillId="0" borderId="19" xfId="0" quotePrefix="1" applyNumberFormat="1" applyFont="1" applyBorder="1" applyAlignment="1">
      <alignment horizontal="center" vertical="center"/>
    </xf>
    <xf numFmtId="0" fontId="26" fillId="0" borderId="19" xfId="0" applyFont="1" applyBorder="1"/>
    <xf numFmtId="0" fontId="26" fillId="0" borderId="34" xfId="0" applyFont="1" applyBorder="1"/>
    <xf numFmtId="0" fontId="26" fillId="0" borderId="2" xfId="0" applyFont="1" applyBorder="1"/>
    <xf numFmtId="49" fontId="23" fillId="16" borderId="19" xfId="0" applyNumberFormat="1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left" vertical="center" wrapText="1" indent="1"/>
    </xf>
    <xf numFmtId="164" fontId="27" fillId="0" borderId="19" xfId="0" applyNumberFormat="1" applyFont="1" applyBorder="1" applyAlignment="1">
      <alignment horizontal="center" vertical="center"/>
    </xf>
    <xf numFmtId="49" fontId="23" fillId="16" borderId="19" xfId="0" applyNumberFormat="1" applyFont="1" applyFill="1" applyBorder="1" applyAlignment="1">
      <alignment horizontal="left" vertical="center" indent="1"/>
    </xf>
    <xf numFmtId="164" fontId="27" fillId="0" borderId="19" xfId="0" quotePrefix="1" applyNumberFormat="1" applyFont="1" applyBorder="1" applyAlignment="1">
      <alignment horizontal="center" vertical="center"/>
    </xf>
    <xf numFmtId="49" fontId="23" fillId="15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left" vertical="center" wrapText="1" indent="1"/>
    </xf>
    <xf numFmtId="164" fontId="26" fillId="15" borderId="19" xfId="0" applyNumberFormat="1" applyFont="1" applyFill="1" applyBorder="1" applyAlignment="1">
      <alignment horizontal="center" vertical="center"/>
    </xf>
    <xf numFmtId="164" fontId="27" fillId="15" borderId="19" xfId="0" applyNumberFormat="1" applyFont="1" applyFill="1" applyBorder="1" applyAlignment="1">
      <alignment horizontal="center" vertical="center"/>
    </xf>
    <xf numFmtId="164" fontId="27" fillId="15" borderId="19" xfId="0" applyNumberFormat="1" applyFont="1" applyFill="1" applyBorder="1" applyAlignment="1">
      <alignment vertical="center"/>
    </xf>
    <xf numFmtId="167" fontId="26" fillId="15" borderId="19" xfId="0" applyNumberFormat="1" applyFont="1" applyFill="1" applyBorder="1" applyAlignment="1">
      <alignment horizontal="center" vertical="center"/>
    </xf>
    <xf numFmtId="15" fontId="27" fillId="0" borderId="19" xfId="0" applyNumberFormat="1" applyFont="1" applyBorder="1" applyAlignment="1">
      <alignment horizontal="center" vertical="center"/>
    </xf>
    <xf numFmtId="167" fontId="26" fillId="0" borderId="19" xfId="0" applyNumberFormat="1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67" fontId="27" fillId="0" borderId="19" xfId="0" applyNumberFormat="1" applyFont="1" applyBorder="1" applyAlignment="1">
      <alignment horizontal="center" vertical="center"/>
    </xf>
    <xf numFmtId="167" fontId="26" fillId="0" borderId="19" xfId="0" quotePrefix="1" applyNumberFormat="1" applyFont="1" applyBorder="1" applyAlignment="1">
      <alignment horizontal="center" vertical="center"/>
    </xf>
    <xf numFmtId="167" fontId="26" fillId="0" borderId="2" xfId="0" applyNumberFormat="1" applyFont="1" applyBorder="1" applyAlignment="1">
      <alignment horizontal="center" vertical="center"/>
    </xf>
    <xf numFmtId="164" fontId="26" fillId="0" borderId="2" xfId="0" applyNumberFormat="1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center" vertical="center"/>
    </xf>
    <xf numFmtId="164" fontId="26" fillId="0" borderId="34" xfId="0" applyNumberFormat="1" applyFont="1" applyBorder="1" applyAlignment="1">
      <alignment horizontal="center" vertical="center"/>
    </xf>
    <xf numFmtId="164" fontId="27" fillId="0" borderId="36" xfId="0" applyNumberFormat="1" applyFont="1" applyBorder="1" applyAlignment="1">
      <alignment horizontal="center" vertical="center"/>
    </xf>
    <xf numFmtId="164" fontId="26" fillId="0" borderId="36" xfId="0" applyNumberFormat="1" applyFont="1" applyBorder="1" applyAlignment="1">
      <alignment horizontal="center" vertical="center"/>
    </xf>
    <xf numFmtId="167" fontId="26" fillId="16" borderId="2" xfId="0" applyNumberFormat="1" applyFont="1" applyFill="1" applyBorder="1" applyAlignment="1">
      <alignment horizontal="center" vertical="center"/>
    </xf>
    <xf numFmtId="167" fontId="27" fillId="0" borderId="2" xfId="0" applyNumberFormat="1" applyFont="1" applyBorder="1" applyAlignment="1">
      <alignment horizontal="center" vertical="center"/>
    </xf>
    <xf numFmtId="167" fontId="26" fillId="0" borderId="2" xfId="0" quotePrefix="1" applyNumberFormat="1" applyFont="1" applyBorder="1" applyAlignment="1">
      <alignment horizontal="center" vertical="center"/>
    </xf>
    <xf numFmtId="49" fontId="23" fillId="0" borderId="7" xfId="0" quotePrefix="1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left" vertical="center" wrapText="1" indent="1"/>
    </xf>
    <xf numFmtId="167" fontId="26" fillId="0" borderId="6" xfId="0" applyNumberFormat="1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167" fontId="26" fillId="16" borderId="2" xfId="0" quotePrefix="1" applyNumberFormat="1" applyFont="1" applyFill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wrapText="1" indent="1"/>
    </xf>
    <xf numFmtId="167" fontId="26" fillId="15" borderId="2" xfId="0" applyNumberFormat="1" applyFont="1" applyFill="1" applyBorder="1" applyAlignment="1">
      <alignment horizontal="center" vertical="center"/>
    </xf>
    <xf numFmtId="167" fontId="26" fillId="22" borderId="2" xfId="0" applyNumberFormat="1" applyFont="1" applyFill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left" vertical="center" wrapText="1" indent="1"/>
    </xf>
    <xf numFmtId="0" fontId="23" fillId="0" borderId="38" xfId="0" applyFont="1" applyBorder="1" applyAlignment="1">
      <alignment horizontal="left" vertical="center" wrapText="1" indent="1"/>
    </xf>
    <xf numFmtId="167" fontId="27" fillId="0" borderId="7" xfId="0" applyNumberFormat="1" applyFont="1" applyBorder="1" applyAlignment="1">
      <alignment horizontal="center" vertical="center"/>
    </xf>
    <xf numFmtId="164" fontId="27" fillId="0" borderId="25" xfId="0" applyNumberFormat="1" applyFont="1" applyBorder="1" applyAlignment="1">
      <alignment horizontal="center" vertical="center"/>
    </xf>
    <xf numFmtId="164" fontId="26" fillId="0" borderId="25" xfId="0" applyNumberFormat="1" applyFont="1" applyBorder="1" applyAlignment="1">
      <alignment horizontal="center" vertical="center"/>
    </xf>
    <xf numFmtId="167" fontId="26" fillId="13" borderId="2" xfId="0" applyNumberFormat="1" applyFont="1" applyFill="1" applyBorder="1" applyAlignment="1">
      <alignment horizontal="center" vertical="center"/>
    </xf>
    <xf numFmtId="164" fontId="0" fillId="29" borderId="25" xfId="0" applyNumberFormat="1" applyFill="1" applyBorder="1" applyAlignment="1">
      <alignment horizontal="center" vertical="center"/>
    </xf>
    <xf numFmtId="15" fontId="8" fillId="29" borderId="25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164" fontId="0" fillId="15" borderId="25" xfId="0" applyNumberFormat="1" applyFill="1" applyBorder="1" applyAlignment="1">
      <alignment horizontal="center" vertical="center"/>
    </xf>
    <xf numFmtId="164" fontId="0" fillId="16" borderId="19" xfId="0" applyNumberFormat="1" applyFill="1" applyBorder="1" applyAlignment="1">
      <alignment horizontal="center" vertical="center"/>
    </xf>
    <xf numFmtId="164" fontId="7" fillId="2" borderId="30" xfId="0" applyNumberFormat="1" applyFont="1" applyFill="1" applyBorder="1" applyAlignment="1">
      <alignment horizontal="center" vertical="center"/>
    </xf>
    <xf numFmtId="0" fontId="31" fillId="29" borderId="25" xfId="0" applyFont="1" applyFill="1" applyBorder="1" applyAlignment="1">
      <alignment horizontal="left" vertical="center" wrapText="1" indent="1"/>
    </xf>
    <xf numFmtId="0" fontId="31" fillId="29" borderId="37" xfId="0" applyFont="1" applyFill="1" applyBorder="1" applyAlignment="1">
      <alignment horizontal="left" vertical="center" wrapText="1" indent="1"/>
    </xf>
    <xf numFmtId="167" fontId="33" fillId="13" borderId="29" xfId="0" applyNumberFormat="1" applyFont="1" applyFill="1" applyBorder="1" applyAlignment="1">
      <alignment horizontal="center" vertical="center"/>
    </xf>
    <xf numFmtId="164" fontId="10" fillId="29" borderId="25" xfId="0" applyNumberFormat="1" applyFont="1" applyFill="1" applyBorder="1" applyAlignment="1">
      <alignment horizontal="center" vertical="center"/>
    </xf>
    <xf numFmtId="167" fontId="33" fillId="13" borderId="25" xfId="0" applyNumberFormat="1" applyFont="1" applyFill="1" applyBorder="1" applyAlignment="1">
      <alignment horizontal="center" vertical="center"/>
    </xf>
    <xf numFmtId="167" fontId="10" fillId="13" borderId="19" xfId="0" applyNumberFormat="1" applyFont="1" applyFill="1" applyBorder="1" applyAlignment="1">
      <alignment horizontal="center" vertical="center"/>
    </xf>
    <xf numFmtId="167" fontId="10" fillId="29" borderId="25" xfId="0" applyNumberFormat="1" applyFont="1" applyFill="1" applyBorder="1" applyAlignment="1">
      <alignment horizontal="center" vertical="center"/>
    </xf>
    <xf numFmtId="164" fontId="10" fillId="13" borderId="25" xfId="0" applyNumberFormat="1" applyFont="1" applyFill="1" applyBorder="1" applyAlignment="1">
      <alignment horizontal="center" vertical="center"/>
    </xf>
    <xf numFmtId="164" fontId="10" fillId="13" borderId="37" xfId="0" applyNumberFormat="1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horizontal="center" vertical="center"/>
    </xf>
    <xf numFmtId="15" fontId="33" fillId="13" borderId="29" xfId="0" applyNumberFormat="1" applyFont="1" applyFill="1" applyBorder="1" applyAlignment="1">
      <alignment horizontal="center" vertical="center"/>
    </xf>
    <xf numFmtId="167" fontId="10" fillId="13" borderId="2" xfId="0" applyNumberFormat="1" applyFont="1" applyFill="1" applyBorder="1" applyAlignment="1">
      <alignment horizontal="center" vertical="center"/>
    </xf>
    <xf numFmtId="167" fontId="10" fillId="15" borderId="2" xfId="0" applyNumberFormat="1" applyFont="1" applyFill="1" applyBorder="1" applyAlignment="1">
      <alignment horizontal="center" vertical="center"/>
    </xf>
    <xf numFmtId="164" fontId="10" fillId="15" borderId="19" xfId="0" quotePrefix="1" applyNumberFormat="1" applyFont="1" applyFill="1" applyBorder="1" applyAlignment="1">
      <alignment horizontal="center" vertical="center"/>
    </xf>
    <xf numFmtId="164" fontId="10" fillId="15" borderId="25" xfId="0" applyNumberFormat="1" applyFont="1" applyFill="1" applyBorder="1" applyAlignment="1">
      <alignment horizontal="center" vertical="center"/>
    </xf>
    <xf numFmtId="167" fontId="10" fillId="15" borderId="2" xfId="0" quotePrefix="1" applyNumberFormat="1" applyFont="1" applyFill="1" applyBorder="1" applyAlignment="1">
      <alignment horizontal="center" vertical="center"/>
    </xf>
    <xf numFmtId="164" fontId="10" fillId="13" borderId="19" xfId="0" applyNumberFormat="1" applyFont="1" applyFill="1" applyBorder="1" applyAlignment="1">
      <alignment horizontal="center" vertical="center"/>
    </xf>
    <xf numFmtId="167" fontId="10" fillId="15" borderId="48" xfId="0" applyNumberFormat="1" applyFont="1" applyFill="1" applyBorder="1" applyAlignment="1">
      <alignment horizontal="center" vertical="center"/>
    </xf>
    <xf numFmtId="164" fontId="10" fillId="15" borderId="19" xfId="0" applyNumberFormat="1" applyFont="1" applyFill="1" applyBorder="1" applyAlignment="1">
      <alignment horizontal="center" vertical="center"/>
    </xf>
    <xf numFmtId="167" fontId="10" fillId="29" borderId="36" xfId="0" applyNumberFormat="1" applyFont="1" applyFill="1" applyBorder="1" applyAlignment="1">
      <alignment horizontal="center" vertical="center"/>
    </xf>
    <xf numFmtId="0" fontId="32" fillId="29" borderId="2" xfId="0" applyFont="1" applyFill="1" applyBorder="1" applyAlignment="1">
      <alignment horizontal="left" vertical="center"/>
    </xf>
    <xf numFmtId="15" fontId="30" fillId="13" borderId="2" xfId="0" applyNumberFormat="1" applyFont="1" applyFill="1" applyBorder="1" applyAlignment="1">
      <alignment horizontal="center" vertical="center"/>
    </xf>
    <xf numFmtId="167" fontId="33" fillId="13" borderId="2" xfId="0" applyNumberFormat="1" applyFont="1" applyFill="1" applyBorder="1" applyAlignment="1">
      <alignment horizontal="center" vertical="center"/>
    </xf>
    <xf numFmtId="164" fontId="10" fillId="29" borderId="2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164" fontId="7" fillId="2" borderId="38" xfId="0" applyNumberFormat="1" applyFont="1" applyFill="1" applyBorder="1" applyAlignment="1">
      <alignment horizontal="center" vertical="center"/>
    </xf>
    <xf numFmtId="164" fontId="10" fillId="0" borderId="34" xfId="0" applyNumberFormat="1" applyFont="1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2" fillId="0" borderId="0" xfId="0" applyFont="1"/>
    <xf numFmtId="49" fontId="3" fillId="23" borderId="3" xfId="0" applyNumberFormat="1" applyFont="1" applyFill="1" applyBorder="1" applyAlignment="1">
      <alignment horizontal="center" vertical="center"/>
    </xf>
    <xf numFmtId="49" fontId="3" fillId="23" borderId="8" xfId="0" applyNumberFormat="1" applyFont="1" applyFill="1" applyBorder="1" applyAlignment="1">
      <alignment horizontal="center" vertical="center"/>
    </xf>
    <xf numFmtId="0" fontId="4" fillId="23" borderId="30" xfId="0" applyFont="1" applyFill="1" applyBorder="1" applyAlignment="1">
      <alignment horizontal="left" vertical="center" wrapText="1" indent="1"/>
    </xf>
    <xf numFmtId="0" fontId="6" fillId="23" borderId="20" xfId="0" applyFont="1" applyFill="1" applyBorder="1" applyAlignment="1">
      <alignment horizontal="left" vertical="center" wrapText="1" indent="1"/>
    </xf>
    <xf numFmtId="167" fontId="8" fillId="23" borderId="30" xfId="0" applyNumberFormat="1" applyFont="1" applyFill="1" applyBorder="1" applyAlignment="1">
      <alignment horizontal="center" vertical="center"/>
    </xf>
    <xf numFmtId="164" fontId="0" fillId="23" borderId="30" xfId="0" applyNumberFormat="1" applyFill="1" applyBorder="1" applyAlignment="1">
      <alignment horizontal="center" vertical="center"/>
    </xf>
    <xf numFmtId="167" fontId="0" fillId="23" borderId="30" xfId="0" applyNumberFormat="1" applyFill="1" applyBorder="1" applyAlignment="1">
      <alignment horizontal="center" vertical="center"/>
    </xf>
    <xf numFmtId="164" fontId="8" fillId="23" borderId="20" xfId="0" applyNumberFormat="1" applyFont="1" applyFill="1" applyBorder="1" applyAlignment="1">
      <alignment horizontal="center" vertical="center"/>
    </xf>
    <xf numFmtId="164" fontId="0" fillId="23" borderId="20" xfId="0" applyNumberFormat="1" applyFill="1" applyBorder="1" applyAlignment="1">
      <alignment horizontal="center" vertical="center"/>
    </xf>
    <xf numFmtId="167" fontId="0" fillId="30" borderId="25" xfId="0" applyNumberFormat="1" applyFill="1" applyBorder="1" applyAlignment="1">
      <alignment horizontal="center" vertical="center"/>
    </xf>
    <xf numFmtId="49" fontId="3" fillId="13" borderId="7" xfId="0" applyNumberFormat="1" applyFont="1" applyFill="1" applyBorder="1" applyAlignment="1">
      <alignment horizontal="center" vertical="center"/>
    </xf>
    <xf numFmtId="0" fontId="4" fillId="13" borderId="19" xfId="0" applyFont="1" applyFill="1" applyBorder="1" applyAlignment="1">
      <alignment horizontal="left" vertical="center" wrapText="1" indent="1"/>
    </xf>
    <xf numFmtId="15" fontId="8" fillId="13" borderId="19" xfId="0" applyNumberFormat="1" applyFont="1" applyFill="1" applyBorder="1" applyAlignment="1">
      <alignment horizontal="center" vertical="center"/>
    </xf>
    <xf numFmtId="167" fontId="8" fillId="25" borderId="33" xfId="0" applyNumberFormat="1" applyFont="1" applyFill="1" applyBorder="1" applyAlignment="1">
      <alignment horizontal="center" vertical="center"/>
    </xf>
    <xf numFmtId="167" fontId="0" fillId="13" borderId="33" xfId="0" applyNumberFormat="1" applyFill="1" applyBorder="1" applyAlignment="1">
      <alignment horizontal="center" vertical="center"/>
    </xf>
    <xf numFmtId="15" fontId="8" fillId="25" borderId="19" xfId="0" applyNumberFormat="1" applyFont="1" applyFill="1" applyBorder="1" applyAlignment="1">
      <alignment vertical="center"/>
    </xf>
    <xf numFmtId="164" fontId="0" fillId="13" borderId="33" xfId="0" applyNumberFormat="1" applyFill="1" applyBorder="1" applyAlignment="1">
      <alignment horizontal="center" vertical="center"/>
    </xf>
    <xf numFmtId="164" fontId="0" fillId="25" borderId="33" xfId="0" applyNumberFormat="1" applyFill="1" applyBorder="1" applyAlignment="1">
      <alignment horizontal="center" vertical="center"/>
    </xf>
    <xf numFmtId="15" fontId="8" fillId="25" borderId="25" xfId="0" applyNumberFormat="1" applyFont="1" applyFill="1" applyBorder="1" applyAlignment="1">
      <alignment vertical="center"/>
    </xf>
    <xf numFmtId="49" fontId="3" fillId="31" borderId="2" xfId="0" applyNumberFormat="1" applyFont="1" applyFill="1" applyBorder="1" applyAlignment="1">
      <alignment horizontal="center" vertical="center"/>
    </xf>
    <xf numFmtId="49" fontId="3" fillId="21" borderId="36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167" fontId="8" fillId="25" borderId="2" xfId="0" applyNumberFormat="1" applyFont="1" applyFill="1" applyBorder="1" applyAlignment="1">
      <alignment horizontal="center" vertical="center"/>
    </xf>
    <xf numFmtId="15" fontId="8" fillId="25" borderId="2" xfId="0" applyNumberFormat="1" applyFont="1" applyFill="1" applyBorder="1" applyAlignment="1">
      <alignment vertical="center"/>
    </xf>
    <xf numFmtId="164" fontId="0" fillId="25" borderId="2" xfId="0" applyNumberFormat="1" applyFill="1" applyBorder="1" applyAlignment="1">
      <alignment horizontal="center" vertical="center"/>
    </xf>
    <xf numFmtId="164" fontId="11" fillId="25" borderId="19" xfId="0" applyNumberFormat="1" applyFont="1" applyFill="1" applyBorder="1" applyAlignment="1">
      <alignment horizontal="center" vertical="center"/>
    </xf>
    <xf numFmtId="49" fontId="18" fillId="0" borderId="7" xfId="0" quotePrefix="1" applyNumberFormat="1" applyFont="1" applyBorder="1" applyAlignment="1">
      <alignment horizontal="center" vertical="center"/>
    </xf>
    <xf numFmtId="0" fontId="31" fillId="0" borderId="19" xfId="0" applyFont="1" applyBorder="1" applyAlignment="1">
      <alignment horizontal="left" vertical="center" wrapText="1" indent="1"/>
    </xf>
    <xf numFmtId="0" fontId="36" fillId="0" borderId="34" xfId="0" applyFont="1" applyBorder="1" applyAlignment="1">
      <alignment horizontal="left" vertical="center" wrapText="1" indent="1"/>
    </xf>
    <xf numFmtId="0" fontId="36" fillId="0" borderId="2" xfId="0" applyFont="1" applyBorder="1" applyAlignment="1">
      <alignment horizontal="left" vertical="center" wrapText="1" indent="1"/>
    </xf>
    <xf numFmtId="164" fontId="10" fillId="0" borderId="36" xfId="0" applyNumberFormat="1" applyFont="1" applyBorder="1" applyAlignment="1">
      <alignment horizontal="center" vertical="center"/>
    </xf>
    <xf numFmtId="167" fontId="33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13" borderId="25" xfId="0" applyFont="1" applyFill="1" applyBorder="1" applyAlignment="1">
      <alignment horizontal="center" vertical="center"/>
    </xf>
    <xf numFmtId="167" fontId="10" fillId="0" borderId="2" xfId="0" quotePrefix="1" applyNumberFormat="1" applyFont="1" applyBorder="1" applyAlignment="1">
      <alignment horizontal="center" vertical="center"/>
    </xf>
    <xf numFmtId="15" fontId="33" fillId="0" borderId="25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167" fontId="10" fillId="0" borderId="36" xfId="0" applyNumberFormat="1" applyFont="1" applyBorder="1" applyAlignment="1">
      <alignment horizontal="center" vertical="center"/>
    </xf>
    <xf numFmtId="164" fontId="10" fillId="16" borderId="19" xfId="0" applyNumberFormat="1" applyFont="1" applyFill="1" applyBorder="1" applyAlignment="1">
      <alignment horizontal="center" vertical="center"/>
    </xf>
    <xf numFmtId="167" fontId="10" fillId="16" borderId="2" xfId="0" applyNumberFormat="1" applyFont="1" applyFill="1" applyBorder="1" applyAlignment="1">
      <alignment horizontal="center" vertical="center"/>
    </xf>
    <xf numFmtId="167" fontId="10" fillId="16" borderId="2" xfId="0" quotePrefix="1" applyNumberFormat="1" applyFont="1" applyFill="1" applyBorder="1" applyAlignment="1">
      <alignment horizontal="center" vertical="center"/>
    </xf>
    <xf numFmtId="167" fontId="10" fillId="0" borderId="6" xfId="0" quotePrefix="1" applyNumberFormat="1" applyFont="1" applyBorder="1" applyAlignment="1">
      <alignment horizontal="center" vertical="center"/>
    </xf>
    <xf numFmtId="167" fontId="0" fillId="0" borderId="19" xfId="0" quotePrefix="1" applyNumberFormat="1" applyBorder="1" applyAlignment="1">
      <alignment horizontal="center" vertical="center"/>
    </xf>
    <xf numFmtId="0" fontId="29" fillId="0" borderId="19" xfId="0" quotePrefix="1" applyFont="1" applyBorder="1" applyAlignment="1">
      <alignment horizontal="center" vertical="center"/>
    </xf>
    <xf numFmtId="49" fontId="3" fillId="0" borderId="19" xfId="0" quotePrefix="1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 wrapText="1" indent="1"/>
    </xf>
    <xf numFmtId="167" fontId="11" fillId="0" borderId="19" xfId="0" applyNumberFormat="1" applyFont="1" applyBorder="1" applyAlignment="1">
      <alignment horizontal="center" vertical="center"/>
    </xf>
    <xf numFmtId="167" fontId="0" fillId="15" borderId="19" xfId="0" applyNumberFormat="1" applyFill="1" applyBorder="1" applyAlignment="1">
      <alignment horizontal="center" vertical="center"/>
    </xf>
    <xf numFmtId="167" fontId="0" fillId="15" borderId="19" xfId="0" quotePrefix="1" applyNumberForma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textRotation="90"/>
    </xf>
    <xf numFmtId="167" fontId="0" fillId="0" borderId="34" xfId="0" applyNumberForma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center" vertical="center"/>
    </xf>
    <xf numFmtId="0" fontId="10" fillId="0" borderId="0" xfId="0" applyFont="1"/>
    <xf numFmtId="0" fontId="31" fillId="32" borderId="25" xfId="0" quotePrefix="1" applyFont="1" applyFill="1" applyBorder="1" applyAlignment="1">
      <alignment horizontal="center" vertical="center"/>
    </xf>
    <xf numFmtId="0" fontId="31" fillId="32" borderId="25" xfId="0" applyFont="1" applyFill="1" applyBorder="1" applyAlignment="1">
      <alignment horizontal="left" vertical="center" wrapText="1"/>
    </xf>
    <xf numFmtId="0" fontId="36" fillId="32" borderId="25" xfId="0" applyFont="1" applyFill="1" applyBorder="1" applyAlignment="1">
      <alignment horizontal="left" vertical="center" wrapText="1"/>
    </xf>
    <xf numFmtId="0" fontId="36" fillId="33" borderId="19" xfId="0" quotePrefix="1" applyFont="1" applyFill="1" applyBorder="1" applyAlignment="1">
      <alignment horizontal="center" vertical="center" wrapText="1" indent="1"/>
    </xf>
    <xf numFmtId="15" fontId="33" fillId="33" borderId="19" xfId="0" quotePrefix="1" applyNumberFormat="1" applyFont="1" applyFill="1" applyBorder="1" applyAlignment="1">
      <alignment horizontal="center" vertical="center" wrapText="1" indent="1"/>
    </xf>
    <xf numFmtId="167" fontId="10" fillId="15" borderId="19" xfId="0" applyNumberFormat="1" applyFont="1" applyFill="1" applyBorder="1" applyAlignment="1">
      <alignment horizontal="center" vertical="center"/>
    </xf>
    <xf numFmtId="164" fontId="10" fillId="15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7" fontId="0" fillId="15" borderId="34" xfId="0" applyNumberFormat="1" applyFill="1" applyBorder="1" applyAlignment="1">
      <alignment horizontal="center" vertical="center"/>
    </xf>
    <xf numFmtId="167" fontId="0" fillId="13" borderId="34" xfId="0" applyNumberFormat="1" applyFill="1" applyBorder="1" applyAlignment="1">
      <alignment horizontal="center" vertical="center"/>
    </xf>
    <xf numFmtId="167" fontId="0" fillId="0" borderId="34" xfId="0" quotePrefix="1" applyNumberFormat="1" applyBorder="1" applyAlignment="1">
      <alignment horizontal="center" vertical="center"/>
    </xf>
    <xf numFmtId="167" fontId="0" fillId="0" borderId="6" xfId="0" quotePrefix="1" applyNumberFormat="1" applyBorder="1" applyAlignment="1">
      <alignment horizontal="center" vertical="center"/>
    </xf>
    <xf numFmtId="0" fontId="23" fillId="4" borderId="0" xfId="0" applyFont="1" applyFill="1" applyAlignment="1">
      <alignment horizontal="center" vertical="center" textRotation="90"/>
    </xf>
    <xf numFmtId="0" fontId="23" fillId="0" borderId="0" xfId="0" applyFont="1" applyAlignment="1">
      <alignment horizontal="left" vertical="center" wrapText="1" indent="1"/>
    </xf>
    <xf numFmtId="49" fontId="3" fillId="16" borderId="34" xfId="0" applyNumberFormat="1" applyFont="1" applyFill="1" applyBorder="1" applyAlignment="1">
      <alignment horizontal="center" vertical="center"/>
    </xf>
    <xf numFmtId="164" fontId="0" fillId="16" borderId="19" xfId="0" quotePrefix="1" applyNumberFormat="1" applyFill="1" applyBorder="1" applyAlignment="1">
      <alignment horizontal="center" vertical="center"/>
    </xf>
    <xf numFmtId="49" fontId="3" fillId="16" borderId="19" xfId="0" quotePrefix="1" applyNumberFormat="1" applyFont="1" applyFill="1" applyBorder="1" applyAlignment="1">
      <alignment horizontal="center" vertical="center"/>
    </xf>
    <xf numFmtId="167" fontId="0" fillId="16" borderId="2" xfId="0" applyNumberFormat="1" applyFill="1" applyBorder="1" applyAlignment="1">
      <alignment horizontal="center" vertical="center"/>
    </xf>
    <xf numFmtId="164" fontId="0" fillId="4" borderId="20" xfId="0" applyNumberForma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7" fontId="0" fillId="0" borderId="2" xfId="0" quotePrefix="1" applyNumberForma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 wrapText="1" indent="1"/>
    </xf>
    <xf numFmtId="49" fontId="3" fillId="0" borderId="2" xfId="0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 wrapText="1" indent="1"/>
    </xf>
    <xf numFmtId="167" fontId="22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164" fontId="0" fillId="0" borderId="33" xfId="0" applyNumberFormat="1" applyBorder="1" applyAlignment="1">
      <alignment horizontal="center" vertical="center"/>
    </xf>
    <xf numFmtId="164" fontId="21" fillId="0" borderId="33" xfId="0" quotePrefix="1" applyNumberFormat="1" applyFon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1" xfId="0" quotePrefix="1" applyNumberForma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49" fontId="3" fillId="0" borderId="29" xfId="0" quotePrefix="1" applyNumberFormat="1" applyFont="1" applyBorder="1" applyAlignment="1">
      <alignment horizontal="center" vertical="center"/>
    </xf>
    <xf numFmtId="1" fontId="34" fillId="0" borderId="19" xfId="0" applyNumberFormat="1" applyFont="1" applyBorder="1" applyAlignment="1">
      <alignment horizontal="center"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37" fillId="7" borderId="4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/>
    </xf>
    <xf numFmtId="0" fontId="5" fillId="4" borderId="25" xfId="0" applyFont="1" applyFill="1" applyBorder="1" applyAlignment="1">
      <alignment horizontal="center" textRotation="90"/>
    </xf>
    <xf numFmtId="0" fontId="5" fillId="4" borderId="34" xfId="0" applyFont="1" applyFill="1" applyBorder="1" applyAlignment="1">
      <alignment horizontal="center" textRotation="90"/>
    </xf>
    <xf numFmtId="0" fontId="5" fillId="4" borderId="19" xfId="0" applyFont="1" applyFill="1" applyBorder="1" applyAlignment="1">
      <alignment horizontal="center" textRotation="90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textRotation="90" wrapText="1"/>
    </xf>
    <xf numFmtId="0" fontId="4" fillId="6" borderId="4" xfId="0" applyFont="1" applyFill="1" applyBorder="1" applyAlignment="1">
      <alignment horizontal="center" textRotation="90" wrapText="1"/>
    </xf>
    <xf numFmtId="167" fontId="4" fillId="6" borderId="3" xfId="0" applyNumberFormat="1" applyFont="1" applyFill="1" applyBorder="1" applyAlignment="1">
      <alignment horizontal="center" textRotation="90" wrapText="1"/>
    </xf>
    <xf numFmtId="0" fontId="4" fillId="6" borderId="3" xfId="0" applyFont="1" applyFill="1" applyBorder="1" applyAlignment="1">
      <alignment horizontal="center" textRotation="90" wrapText="1"/>
    </xf>
    <xf numFmtId="0" fontId="4" fillId="2" borderId="5" xfId="0" applyFont="1" applyFill="1" applyBorder="1" applyAlignment="1">
      <alignment horizontal="center" textRotation="90" wrapText="1"/>
    </xf>
    <xf numFmtId="0" fontId="4" fillId="2" borderId="50" xfId="0" applyFont="1" applyFill="1" applyBorder="1" applyAlignment="1">
      <alignment horizontal="center" textRotation="90" wrapText="1"/>
    </xf>
    <xf numFmtId="0" fontId="4" fillId="8" borderId="3" xfId="0" applyFont="1" applyFill="1" applyBorder="1" applyAlignment="1">
      <alignment horizontal="center" textRotation="90" wrapText="1"/>
    </xf>
    <xf numFmtId="0" fontId="4" fillId="7" borderId="3" xfId="0" applyFont="1" applyFill="1" applyBorder="1" applyAlignment="1">
      <alignment horizontal="center" textRotation="90" wrapText="1"/>
    </xf>
    <xf numFmtId="0" fontId="40" fillId="14" borderId="3" xfId="0" applyFont="1" applyFill="1" applyBorder="1" applyAlignment="1">
      <alignment horizontal="center" textRotation="90" wrapText="1"/>
    </xf>
    <xf numFmtId="0" fontId="4" fillId="13" borderId="3" xfId="0" applyFont="1" applyFill="1" applyBorder="1" applyAlignment="1">
      <alignment horizontal="center" textRotation="90" wrapText="1"/>
    </xf>
    <xf numFmtId="0" fontId="4" fillId="12" borderId="3" xfId="0" applyFont="1" applyFill="1" applyBorder="1" applyAlignment="1">
      <alignment horizontal="center" textRotation="90" wrapText="1"/>
    </xf>
    <xf numFmtId="0" fontId="40" fillId="5" borderId="3" xfId="0" applyFont="1" applyFill="1" applyBorder="1" applyAlignment="1">
      <alignment horizontal="center" textRotation="90" wrapText="1"/>
    </xf>
    <xf numFmtId="0" fontId="4" fillId="9" borderId="3" xfId="0" applyFont="1" applyFill="1" applyBorder="1" applyAlignment="1">
      <alignment horizontal="center" textRotation="90" wrapText="1"/>
    </xf>
    <xf numFmtId="0" fontId="4" fillId="11" borderId="41" xfId="0" applyFont="1" applyFill="1" applyBorder="1" applyAlignment="1">
      <alignment horizontal="center" textRotation="90" wrapText="1"/>
    </xf>
    <xf numFmtId="0" fontId="4" fillId="27" borderId="41" xfId="0" applyFont="1" applyFill="1" applyBorder="1" applyAlignment="1">
      <alignment horizontal="center" textRotation="90" wrapText="1"/>
    </xf>
    <xf numFmtId="0" fontId="4" fillId="12" borderId="41" xfId="0" applyFont="1" applyFill="1" applyBorder="1" applyAlignment="1">
      <alignment horizontal="center" textRotation="90" wrapText="1"/>
    </xf>
    <xf numFmtId="0" fontId="4" fillId="7" borderId="41" xfId="0" applyFont="1" applyFill="1" applyBorder="1" applyAlignment="1">
      <alignment horizontal="center" textRotation="90" wrapText="1"/>
    </xf>
    <xf numFmtId="0" fontId="4" fillId="17" borderId="41" xfId="0" applyFont="1" applyFill="1" applyBorder="1" applyAlignment="1">
      <alignment horizontal="center" textRotation="90" wrapText="1"/>
    </xf>
    <xf numFmtId="0" fontId="35" fillId="18" borderId="41" xfId="0" applyFont="1" applyFill="1" applyBorder="1" applyAlignment="1">
      <alignment horizontal="center" textRotation="90" wrapText="1"/>
    </xf>
    <xf numFmtId="0" fontId="35" fillId="19" borderId="41" xfId="0" applyFont="1" applyFill="1" applyBorder="1" applyAlignment="1">
      <alignment horizontal="center" textRotation="90" wrapText="1"/>
    </xf>
    <xf numFmtId="0" fontId="35" fillId="20" borderId="41" xfId="0" applyFont="1" applyFill="1" applyBorder="1" applyAlignment="1">
      <alignment horizontal="center" textRotation="90" wrapText="1"/>
    </xf>
    <xf numFmtId="0" fontId="35" fillId="12" borderId="41" xfId="0" applyFont="1" applyFill="1" applyBorder="1" applyAlignment="1">
      <alignment horizontal="center" textRotation="90" wrapText="1"/>
    </xf>
    <xf numFmtId="0" fontId="4" fillId="28" borderId="41" xfId="0" applyFont="1" applyFill="1" applyBorder="1" applyAlignment="1">
      <alignment horizontal="center" textRotation="90" wrapText="1"/>
    </xf>
    <xf numFmtId="0" fontId="4" fillId="21" borderId="41" xfId="0" applyFont="1" applyFill="1" applyBorder="1" applyAlignment="1">
      <alignment horizontal="center" textRotation="90" wrapText="1"/>
    </xf>
    <xf numFmtId="0" fontId="4" fillId="11" borderId="49" xfId="0" applyFont="1" applyFill="1" applyBorder="1" applyAlignment="1">
      <alignment horizontal="center" textRotation="90" wrapText="1"/>
    </xf>
    <xf numFmtId="0" fontId="4" fillId="7" borderId="8" xfId="0" applyFont="1" applyFill="1" applyBorder="1" applyAlignment="1">
      <alignment horizontal="center" textRotation="90" wrapText="1"/>
    </xf>
    <xf numFmtId="0" fontId="4" fillId="9" borderId="49" xfId="0" applyFont="1" applyFill="1" applyBorder="1" applyAlignment="1">
      <alignment horizontal="center" textRotation="90" wrapText="1"/>
    </xf>
    <xf numFmtId="0" fontId="4" fillId="9" borderId="41" xfId="0" applyFont="1" applyFill="1" applyBorder="1" applyAlignment="1">
      <alignment horizontal="center" textRotation="90" wrapText="1"/>
    </xf>
    <xf numFmtId="0" fontId="4" fillId="34" borderId="49" xfId="0" applyFont="1" applyFill="1" applyBorder="1" applyAlignment="1">
      <alignment horizontal="center" textRotation="90" wrapText="1"/>
    </xf>
    <xf numFmtId="0" fontId="4" fillId="22" borderId="41" xfId="0" applyFont="1" applyFill="1" applyBorder="1" applyAlignment="1">
      <alignment horizontal="center" textRotation="90" wrapText="1"/>
    </xf>
    <xf numFmtId="0" fontId="4" fillId="26" borderId="41" xfId="0" applyFont="1" applyFill="1" applyBorder="1" applyAlignment="1">
      <alignment horizontal="center" textRotation="90" wrapText="1"/>
    </xf>
    <xf numFmtId="164" fontId="0" fillId="20" borderId="33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167" fontId="0" fillId="21" borderId="2" xfId="0" applyNumberFormat="1" applyFill="1" applyBorder="1" applyAlignment="1">
      <alignment horizontal="center" vertical="center"/>
    </xf>
    <xf numFmtId="167" fontId="41" fillId="0" borderId="2" xfId="0" applyNumberFormat="1" applyFont="1" applyBorder="1" applyAlignment="1">
      <alignment horizontal="center" vertical="center"/>
    </xf>
    <xf numFmtId="167" fontId="0" fillId="20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67" fontId="11" fillId="0" borderId="2" xfId="0" quotePrefix="1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wrapText="1" indent="1"/>
    </xf>
    <xf numFmtId="164" fontId="0" fillId="0" borderId="52" xfId="0" quotePrefix="1" applyNumberFormat="1" applyBorder="1" applyAlignment="1">
      <alignment horizontal="center" vertical="center"/>
    </xf>
    <xf numFmtId="15" fontId="11" fillId="0" borderId="19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164" fontId="11" fillId="0" borderId="51" xfId="0" applyNumberFormat="1" applyFon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3" xfId="0" quotePrefix="1" applyNumberFormat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/>
    </xf>
    <xf numFmtId="164" fontId="0" fillId="20" borderId="25" xfId="0" applyNumberFormat="1" applyFill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5" fontId="0" fillId="0" borderId="19" xfId="0" quotePrefix="1" applyNumberFormat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164" fontId="0" fillId="0" borderId="29" xfId="0" quotePrefix="1" applyNumberFormat="1" applyBorder="1" applyAlignment="1">
      <alignment horizontal="center" vertical="center"/>
    </xf>
    <xf numFmtId="164" fontId="0" fillId="0" borderId="36" xfId="0" quotePrefix="1" applyNumberForma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left" vertical="center" wrapText="1" indent="1"/>
    </xf>
    <xf numFmtId="167" fontId="11" fillId="0" borderId="25" xfId="0" applyNumberFormat="1" applyFont="1" applyBorder="1" applyAlignment="1">
      <alignment horizontal="center" vertical="center"/>
    </xf>
    <xf numFmtId="164" fontId="0" fillId="0" borderId="54" xfId="0" quotePrefix="1" applyNumberFormat="1" applyBorder="1" applyAlignment="1">
      <alignment horizontal="center" vertical="center"/>
    </xf>
    <xf numFmtId="164" fontId="0" fillId="0" borderId="53" xfId="0" quotePrefix="1" applyNumberFormat="1" applyBorder="1" applyAlignment="1">
      <alignment horizontal="center" vertical="center"/>
    </xf>
    <xf numFmtId="15" fontId="11" fillId="0" borderId="25" xfId="0" applyNumberFormat="1" applyFont="1" applyBorder="1" applyAlignment="1">
      <alignment horizontal="center" vertical="center"/>
    </xf>
    <xf numFmtId="164" fontId="11" fillId="0" borderId="39" xfId="0" applyNumberFormat="1" applyFont="1" applyBorder="1" applyAlignment="1">
      <alignment horizontal="center" vertical="center"/>
    </xf>
    <xf numFmtId="167" fontId="0" fillId="0" borderId="36" xfId="0" quotePrefix="1" applyNumberFormat="1" applyBorder="1" applyAlignment="1">
      <alignment horizontal="center" vertical="center"/>
    </xf>
    <xf numFmtId="15" fontId="0" fillId="0" borderId="25" xfId="0" quotePrefix="1" applyNumberFormat="1" applyBorder="1" applyAlignment="1">
      <alignment horizontal="center" vertical="center"/>
    </xf>
    <xf numFmtId="0" fontId="9" fillId="0" borderId="34" xfId="0" applyFont="1" applyBorder="1" applyAlignment="1">
      <alignment horizontal="left" vertical="center" wrapText="1" indent="1"/>
    </xf>
    <xf numFmtId="167" fontId="11" fillId="0" borderId="7" xfId="0" applyNumberFormat="1" applyFon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 indent="1"/>
    </xf>
    <xf numFmtId="167" fontId="11" fillId="0" borderId="29" xfId="0" applyNumberFormat="1" applyFont="1" applyBorder="1" applyAlignment="1">
      <alignment horizontal="center" vertical="center"/>
    </xf>
    <xf numFmtId="167" fontId="0" fillId="0" borderId="36" xfId="0" applyNumberForma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4" fontId="0" fillId="0" borderId="34" xfId="0" quotePrefix="1" applyNumberFormat="1" applyBorder="1" applyAlignment="1">
      <alignment horizontal="center" vertical="center"/>
    </xf>
    <xf numFmtId="164" fontId="21" fillId="0" borderId="54" xfId="0" quotePrefix="1" applyNumberFormat="1" applyFon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20" borderId="39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20" borderId="19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/>
    <xf numFmtId="164" fontId="21" fillId="0" borderId="19" xfId="0" quotePrefix="1" applyNumberFormat="1" applyFont="1" applyBorder="1" applyAlignment="1">
      <alignment horizontal="center" vertical="center"/>
    </xf>
    <xf numFmtId="164" fontId="21" fillId="0" borderId="19" xfId="0" applyNumberFormat="1" applyFont="1" applyBorder="1" applyAlignment="1">
      <alignment horizontal="center" vertical="center"/>
    </xf>
    <xf numFmtId="0" fontId="4" fillId="35" borderId="41" xfId="0" applyFont="1" applyFill="1" applyBorder="1" applyAlignment="1">
      <alignment horizontal="center" textRotation="90" wrapText="1"/>
    </xf>
    <xf numFmtId="0" fontId="4" fillId="36" borderId="41" xfId="0" applyFont="1" applyFill="1" applyBorder="1" applyAlignment="1">
      <alignment horizontal="center" textRotation="90" wrapText="1"/>
    </xf>
    <xf numFmtId="167" fontId="21" fillId="16" borderId="2" xfId="0" applyNumberFormat="1" applyFont="1" applyFill="1" applyBorder="1" applyAlignment="1">
      <alignment horizontal="center" vertical="center"/>
    </xf>
    <xf numFmtId="0" fontId="37" fillId="0" borderId="19" xfId="0" applyFont="1" applyBorder="1" applyAlignment="1">
      <alignment horizontal="left" vertical="center" wrapText="1" indent="1"/>
    </xf>
    <xf numFmtId="0" fontId="42" fillId="0" borderId="19" xfId="0" applyFont="1" applyBorder="1" applyAlignment="1">
      <alignment horizontal="left" vertical="center" wrapText="1" indent="1"/>
    </xf>
    <xf numFmtId="168" fontId="0" fillId="0" borderId="2" xfId="0" applyNumberFormat="1" applyBorder="1" applyAlignment="1">
      <alignment horizontal="center" vertical="center"/>
    </xf>
    <xf numFmtId="167" fontId="43" fillId="0" borderId="19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164" fontId="21" fillId="0" borderId="20" xfId="0" quotePrefix="1" applyNumberFormat="1" applyFont="1" applyBorder="1" applyAlignment="1">
      <alignment horizontal="center" vertical="center"/>
    </xf>
    <xf numFmtId="0" fontId="5" fillId="4" borderId="30" xfId="0" applyFont="1" applyFill="1" applyBorder="1" applyAlignment="1">
      <alignment vertical="center" textRotation="90"/>
    </xf>
    <xf numFmtId="0" fontId="9" fillId="0" borderId="2" xfId="0" applyFont="1" applyBorder="1" applyAlignment="1">
      <alignment vertical="center" wrapText="1"/>
    </xf>
    <xf numFmtId="0" fontId="9" fillId="0" borderId="2" xfId="0" quotePrefix="1" applyFont="1" applyBorder="1" applyAlignment="1">
      <alignment vertical="center" wrapText="1"/>
    </xf>
    <xf numFmtId="0" fontId="29" fillId="0" borderId="2" xfId="0" quotePrefix="1" applyFont="1" applyBorder="1" applyAlignment="1">
      <alignment vertical="center"/>
    </xf>
    <xf numFmtId="0" fontId="29" fillId="0" borderId="2" xfId="0" quotePrefix="1" applyFont="1" applyBorder="1" applyAlignment="1">
      <alignment vertical="center" wrapText="1"/>
    </xf>
    <xf numFmtId="0" fontId="29" fillId="0" borderId="2" xfId="0" applyFont="1" applyBorder="1" applyAlignment="1">
      <alignment vertical="center" wrapText="1"/>
    </xf>
    <xf numFmtId="167" fontId="9" fillId="0" borderId="2" xfId="0" quotePrefix="1" applyNumberFormat="1" applyFont="1" applyBorder="1" applyAlignment="1">
      <alignment vertical="center" wrapText="1"/>
    </xf>
    <xf numFmtId="167" fontId="9" fillId="0" borderId="36" xfId="0" quotePrefix="1" applyNumberFormat="1" applyFont="1" applyBorder="1" applyAlignment="1">
      <alignment vertical="center" wrapText="1"/>
    </xf>
    <xf numFmtId="167" fontId="6" fillId="0" borderId="2" xfId="0" quotePrefix="1" applyNumberFormat="1" applyFont="1" applyBorder="1" applyAlignment="1">
      <alignment vertical="center" wrapText="1"/>
    </xf>
    <xf numFmtId="167" fontId="4" fillId="0" borderId="2" xfId="0" quotePrefix="1" applyNumberFormat="1" applyFont="1" applyBorder="1" applyAlignment="1">
      <alignment vertical="center" wrapText="1"/>
    </xf>
    <xf numFmtId="0" fontId="6" fillId="0" borderId="2" xfId="0" quotePrefix="1" applyFont="1" applyBorder="1" applyAlignment="1">
      <alignment vertical="center" wrapText="1"/>
    </xf>
    <xf numFmtId="167" fontId="7" fillId="0" borderId="2" xfId="0" quotePrefix="1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7" fontId="0" fillId="0" borderId="0" xfId="0" applyNumberFormat="1" applyAlignment="1">
      <alignment horizontal="center" vertical="center"/>
    </xf>
    <xf numFmtId="15" fontId="0" fillId="0" borderId="25" xfId="0" applyNumberFormat="1" applyBorder="1" applyAlignment="1">
      <alignment horizontal="center" vertical="center"/>
    </xf>
    <xf numFmtId="167" fontId="0" fillId="16" borderId="36" xfId="0" applyNumberFormat="1" applyFill="1" applyBorder="1" applyAlignment="1">
      <alignment horizontal="center" vertical="center"/>
    </xf>
    <xf numFmtId="164" fontId="0" fillId="16" borderId="25" xfId="0" applyNumberFormat="1" applyFill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vertical="center" wrapText="1"/>
    </xf>
    <xf numFmtId="0" fontId="4" fillId="22" borderId="49" xfId="0" applyFont="1" applyFill="1" applyBorder="1" applyAlignment="1">
      <alignment horizontal="center" textRotation="90" wrapText="1"/>
    </xf>
    <xf numFmtId="0" fontId="1" fillId="0" borderId="0" xfId="1"/>
    <xf numFmtId="169" fontId="0" fillId="0" borderId="2" xfId="0" applyNumberForma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49" fontId="9" fillId="0" borderId="34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quotePrefix="1" applyNumberFormat="1" applyFont="1" applyBorder="1" applyAlignment="1">
      <alignment horizontal="center" vertical="center"/>
    </xf>
    <xf numFmtId="49" fontId="9" fillId="0" borderId="7" xfId="0" quotePrefix="1" applyNumberFormat="1" applyFont="1" applyBorder="1" applyAlignment="1">
      <alignment horizontal="center" vertical="center"/>
    </xf>
    <xf numFmtId="49" fontId="9" fillId="0" borderId="29" xfId="0" quotePrefix="1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 vertical="center"/>
    </xf>
    <xf numFmtId="49" fontId="9" fillId="0" borderId="29" xfId="0" quotePrefix="1" applyNumberFormat="1" applyFont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textRotation="90"/>
    </xf>
    <xf numFmtId="0" fontId="9" fillId="0" borderId="30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textRotation="90"/>
    </xf>
    <xf numFmtId="167" fontId="7" fillId="2" borderId="7" xfId="0" applyNumberFormat="1" applyFont="1" applyFill="1" applyBorder="1" applyAlignment="1">
      <alignment horizontal="center" vertical="center"/>
    </xf>
    <xf numFmtId="167" fontId="7" fillId="2" borderId="19" xfId="0" applyNumberFormat="1" applyFont="1" applyFill="1" applyBorder="1" applyAlignment="1">
      <alignment horizontal="center" vertical="center"/>
    </xf>
    <xf numFmtId="167" fontId="7" fillId="3" borderId="19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167" fontId="0" fillId="0" borderId="33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 vertical="center"/>
    </xf>
    <xf numFmtId="167" fontId="0" fillId="0" borderId="52" xfId="0" applyNumberFormat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/>
    </xf>
    <xf numFmtId="167" fontId="0" fillId="0" borderId="29" xfId="0" applyNumberFormat="1" applyBorder="1" applyAlignment="1">
      <alignment horizontal="center" vertical="center"/>
    </xf>
    <xf numFmtId="167" fontId="0" fillId="0" borderId="53" xfId="0" applyNumberForma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" xfId="0" applyBorder="1"/>
    <xf numFmtId="0" fontId="0" fillId="0" borderId="25" xfId="0" applyBorder="1" applyAlignment="1">
      <alignment horizontal="center" vertical="center"/>
    </xf>
    <xf numFmtId="168" fontId="0" fillId="0" borderId="19" xfId="0" applyNumberFormat="1" applyBorder="1" applyAlignment="1">
      <alignment horizontal="center" vertical="center"/>
    </xf>
    <xf numFmtId="164" fontId="0" fillId="16" borderId="2" xfId="0" applyNumberFormat="1" applyFill="1" applyBorder="1" applyAlignment="1">
      <alignment horizontal="center" vertical="center"/>
    </xf>
    <xf numFmtId="49" fontId="3" fillId="37" borderId="2" xfId="1" quotePrefix="1" applyNumberFormat="1" applyFont="1" applyFill="1" applyBorder="1" applyAlignment="1">
      <alignment horizontal="center" vertical="center"/>
    </xf>
    <xf numFmtId="0" fontId="3" fillId="37" borderId="2" xfId="1" applyFont="1" applyFill="1" applyBorder="1" applyAlignment="1">
      <alignment horizontal="left" vertical="center" wrapText="1" indent="1"/>
    </xf>
    <xf numFmtId="167" fontId="1" fillId="37" borderId="2" xfId="1" applyNumberFormat="1" applyFill="1" applyBorder="1" applyAlignment="1">
      <alignment horizontal="center" vertical="center"/>
    </xf>
    <xf numFmtId="49" fontId="3" fillId="16" borderId="2" xfId="1" quotePrefix="1" applyNumberFormat="1" applyFont="1" applyFill="1" applyBorder="1" applyAlignment="1">
      <alignment horizontal="center" vertical="center"/>
    </xf>
    <xf numFmtId="0" fontId="3" fillId="16" borderId="2" xfId="1" applyFont="1" applyFill="1" applyBorder="1" applyAlignment="1">
      <alignment horizontal="left" vertical="center" wrapText="1" indent="1"/>
    </xf>
    <xf numFmtId="167" fontId="1" fillId="16" borderId="2" xfId="1" applyNumberFormat="1" applyFill="1" applyBorder="1" applyAlignment="1">
      <alignment horizontal="center" vertical="center"/>
    </xf>
    <xf numFmtId="49" fontId="3" fillId="16" borderId="2" xfId="1" applyNumberFormat="1" applyFont="1" applyFill="1" applyBorder="1" applyAlignment="1">
      <alignment horizontal="center" vertical="center"/>
    </xf>
    <xf numFmtId="49" fontId="3" fillId="37" borderId="2" xfId="1" applyNumberFormat="1" applyFont="1" applyFill="1" applyBorder="1" applyAlignment="1">
      <alignment horizontal="center" vertical="center"/>
    </xf>
    <xf numFmtId="49" fontId="3" fillId="37" borderId="7" xfId="1" quotePrefix="1" applyNumberFormat="1" applyFont="1" applyFill="1" applyBorder="1" applyAlignment="1">
      <alignment horizontal="center" vertical="center"/>
    </xf>
    <xf numFmtId="0" fontId="3" fillId="37" borderId="19" xfId="1" applyFont="1" applyFill="1" applyBorder="1" applyAlignment="1">
      <alignment horizontal="left" vertical="center" wrapText="1" indent="1"/>
    </xf>
    <xf numFmtId="49" fontId="3" fillId="16" borderId="7" xfId="1" quotePrefix="1" applyNumberFormat="1" applyFont="1" applyFill="1" applyBorder="1" applyAlignment="1">
      <alignment horizontal="center" vertical="center"/>
    </xf>
    <xf numFmtId="0" fontId="3" fillId="16" borderId="19" xfId="1" applyFont="1" applyFill="1" applyBorder="1" applyAlignment="1">
      <alignment horizontal="left" vertical="center" wrapText="1" indent="1"/>
    </xf>
    <xf numFmtId="164" fontId="1" fillId="16" borderId="19" xfId="1" applyNumberFormat="1" applyFill="1" applyBorder="1" applyAlignment="1">
      <alignment horizontal="center" vertical="center"/>
    </xf>
    <xf numFmtId="0" fontId="1" fillId="16" borderId="0" xfId="1" applyFill="1"/>
    <xf numFmtId="49" fontId="9" fillId="15" borderId="2" xfId="0" quotePrefix="1" applyNumberFormat="1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 wrapText="1" indent="1"/>
    </xf>
    <xf numFmtId="49" fontId="9" fillId="15" borderId="2" xfId="0" applyNumberFormat="1" applyFont="1" applyFill="1" applyBorder="1" applyAlignment="1">
      <alignment horizontal="center" vertical="center"/>
    </xf>
    <xf numFmtId="167" fontId="0" fillId="15" borderId="2" xfId="0" applyNumberFormat="1" applyFill="1" applyBorder="1" applyAlignment="1">
      <alignment horizontal="center" vertical="center"/>
    </xf>
    <xf numFmtId="167" fontId="0" fillId="0" borderId="48" xfId="0" applyNumberFormat="1" applyBorder="1" applyAlignment="1">
      <alignment horizontal="center" vertical="center"/>
    </xf>
    <xf numFmtId="0" fontId="37" fillId="4" borderId="7" xfId="0" applyFont="1" applyFill="1" applyBorder="1" applyAlignment="1">
      <alignment horizontal="center" textRotation="90"/>
    </xf>
    <xf numFmtId="0" fontId="37" fillId="4" borderId="25" xfId="0" applyFont="1" applyFill="1" applyBorder="1" applyAlignment="1">
      <alignment horizontal="center" textRotation="90"/>
    </xf>
    <xf numFmtId="0" fontId="37" fillId="4" borderId="34" xfId="0" applyFont="1" applyFill="1" applyBorder="1" applyAlignment="1">
      <alignment horizontal="center" textRotation="90"/>
    </xf>
    <xf numFmtId="0" fontId="37" fillId="4" borderId="19" xfId="0" applyFont="1" applyFill="1" applyBorder="1" applyAlignment="1">
      <alignment horizontal="center" textRotation="90"/>
    </xf>
    <xf numFmtId="0" fontId="17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39" fillId="0" borderId="0" xfId="0" quotePrefix="1" applyNumberFormat="1" applyFont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9" borderId="38" xfId="0" applyFont="1" applyFill="1" applyBorder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164" fontId="5" fillId="0" borderId="0" xfId="0" quotePrefix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1" borderId="3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 textRotation="90"/>
    </xf>
    <xf numFmtId="0" fontId="23" fillId="4" borderId="44" xfId="0" applyFont="1" applyFill="1" applyBorder="1" applyAlignment="1">
      <alignment horizontal="center" vertical="center" textRotation="90"/>
    </xf>
    <xf numFmtId="0" fontId="23" fillId="4" borderId="11" xfId="0" applyFont="1" applyFill="1" applyBorder="1" applyAlignment="1">
      <alignment horizontal="center" vertical="center" textRotation="90"/>
    </xf>
    <xf numFmtId="0" fontId="23" fillId="4" borderId="12" xfId="0" applyFont="1" applyFill="1" applyBorder="1" applyAlignment="1">
      <alignment horizontal="center" vertical="center" textRotation="90"/>
    </xf>
    <xf numFmtId="0" fontId="23" fillId="4" borderId="45" xfId="0" applyFont="1" applyFill="1" applyBorder="1" applyAlignment="1">
      <alignment horizontal="center" vertical="center" textRotation="90"/>
    </xf>
    <xf numFmtId="0" fontId="23" fillId="4" borderId="46" xfId="0" applyFont="1" applyFill="1" applyBorder="1" applyAlignment="1">
      <alignment horizontal="center" vertical="center" textRotation="90"/>
    </xf>
    <xf numFmtId="0" fontId="9" fillId="3" borderId="34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7FC9277A-514B-4DCA-B05E-B38C424B7C50}"/>
  </cellStyles>
  <dxfs count="776"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8CBAD"/>
        </patternFill>
      </fill>
      <alignment horizontal="general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8CBAD"/>
        </patternFill>
      </fill>
      <alignment horizontal="general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indexed="64"/>
          <bgColor rgb="FFF8CBAD"/>
        </patternFill>
      </fill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8CBAD"/>
        </patternFill>
      </fill>
      <alignment horizontal="general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167" formatCode="[$-409]dd\-mmm\-yy;@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d\-mmm\-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indexed="64"/>
          <bgColor rgb="FFF8CBAD"/>
        </patternFill>
      </fill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69630"/>
      <color rgb="FFFB6D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B70BD0D-B062-4075-9C51-D3D94CB932D4}">
    <nsvFilter filterId="{CD2573DA-1D43-4E1F-9245-0FB7ACA7A606}" ref="B3:CZ111" tableId="4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BCC9315-5C41-441C-BA69-233C06D4C28C}">
    <nsvFilter filterId="{CD2573DA-1D43-4E1F-9245-0FB7ACA7A606}" ref="B3:CY110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Virunya Kupatithammagul" id="{33097EBE-4D6C-41C3-BBA0-9B15E619B3A7}" userId="S::Virunya@sams.aero::f01964cc-43a2-4376-b741-204f34d15ac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A8BA72-7FBD-4989-966B-3FC2DC8A2C43}" name="Table135" displayName="Table135" ref="B3:CZ111" totalsRowShown="0" headerRowDxfId="767" dataDxfId="766" tableBorderDxfId="765">
  <autoFilter ref="B3:CZ111" xr:uid="{CD2573DA-1D43-4E1F-9245-0FB7ACA7A606}"/>
  <tableColumns count="103">
    <tableColumn id="9" xr3:uid="{ACBB42DE-6E94-49BE-BA6D-4ACD410B7B31}" name="No." dataDxfId="764"/>
    <tableColumn id="1" xr3:uid="{AC4C2813-CF0F-4260-92D3-ECCB67A717BA}" name="Staff ID" dataDxfId="763"/>
    <tableColumn id="2" xr3:uid="{DAC9F680-9583-4738-936B-1D885D222F87}" name="Name" dataDxfId="762"/>
    <tableColumn id="3" xr3:uid="{09AA0C08-0BA7-45F7-855E-34BBC21E2DF1}" name="Surname" dataDxfId="761"/>
    <tableColumn id="4" xr3:uid="{7DFEE909-87BD-429E-B230-95AAF35DC9D2}" name="Position" dataDxfId="760"/>
    <tableColumn id="93" xr3:uid="{BC36320A-AC25-4926-A453-51422144EE23}" name="Hold type" dataDxfId="759"/>
    <tableColumn id="5" xr3:uid="{508D03D0-4212-42DE-8677-56B7DA50B672}" name="Human Factors" dataDxfId="758"/>
    <tableColumn id="6" xr3:uid="{3DC8C249-12D7-4099-96BB-5639A2DA91C4}" name="Human Factor" dataDxfId="757">
      <calculatedColumnFormula>IF(ISBLANK(H4),"",EDATE(H4,24))</calculatedColumnFormula>
    </tableColumn>
    <tableColumn id="7" xr3:uid="{A6B048DA-A510-4527-ABB5-184F71C002B5}" name="Safety Management System" dataDxfId="756"/>
    <tableColumn id="8" xr3:uid="{F5C5ECC4-297C-4FFB-A1F8-D3F5E287A0F8}" name="Safety Management System3" dataDxfId="755"/>
    <tableColumn id="11" xr3:uid="{C498B10D-ABA5-4D4D-AEF6-7A606B719BD2}" name="Dangerous Goods Awareness" dataDxfId="754"/>
    <tableColumn id="12" xr3:uid="{A84B4FD6-544D-48DF-9CA3-70FC452B91C0}" name="Dangerous Goods Awareness5" dataDxfId="753">
      <calculatedColumnFormula>IF(ISBLANK(L4),"",EDATE(L4,24))</calculatedColumnFormula>
    </tableColumn>
    <tableColumn id="13" xr3:uid="{99C8359D-71FD-456D-BD89-B02D7B7DBD64}" name="Aircraft General Familiarization (B737-600/700/800/900 (CFM56)) and relevant technology" dataDxfId="752"/>
    <tableColumn id="14" xr3:uid="{36A12787-B8F1-442C-9D0A-FDF6084C27F0}" name="Aircraft General Familiarization (B737-600/700/800/900 (CFM56)) and relevant technology6" dataDxfId="751"/>
    <tableColumn id="15" xr3:uid="{23982722-1969-46E6-BC91-A16EBD32F39F}" name="Aircraft General Familiarization (B737-7/8/9 (CFM LEAP-1B) and relevant technology" dataDxfId="750"/>
    <tableColumn id="16" xr3:uid="{1EF4B811-AA6E-40F4-8F34-02957BC4F05D}" name="Aircraft General Familiarization (B737-7/8/9 (CFM LEAP-1B) and relevant technology7" dataDxfId="749"/>
    <tableColumn id="17" xr3:uid="{1E7E142E-2D73-427B-87D0-C7F40A84377D}" name="Aircraft General Familiarization (A318/A319/A320/321) and relevant technology" dataDxfId="748"/>
    <tableColumn id="18" xr3:uid="{ABBE82C4-250F-4556-8F0D-3E1AB0925264}" name="Aircraft General Familiarization (A318/A319/A320/321) and relevant technology2" dataDxfId="747"/>
    <tableColumn id="66" xr3:uid="{F6CD923F-329E-4ED2-A0B3-0D90C5CFE740}" name="Aircraft General Familiarization (B777-200/300/300ER) and relevant technology" dataDxfId="746"/>
    <tableColumn id="70" xr3:uid="{926CF524-A224-47CE-B158-C1F277EDE9A6}" name="Aircraft General Familiarization (B777-200/300/300ER) and relevant technology2" dataDxfId="745"/>
    <tableColumn id="71" xr3:uid="{C4A9BB95-D45A-41AB-8BC7-609FE010CCAA}" name="Aircraft General Familiarization (A330-200/300/800/900) and relevant technology" dataDxfId="744"/>
    <tableColumn id="69" xr3:uid="{13EDAF5B-7433-4EF3-9E54-03CB4EB5D256}" name="Aircraft General Familiarization (A330-200/300/800/900) and relevant technology2" dataDxfId="743"/>
    <tableColumn id="68" xr3:uid="{3A4F794F-658F-498C-8D97-B03ED96DE905}" name="Aircraft General Familiarization (B787-8/9) and relevant technology" dataDxfId="742"/>
    <tableColumn id="67" xr3:uid="{C4B633F9-A020-451C-9A48-816A48641D62}" name="Aircraft General Familiarization (B787-8/9) and relevant technology2" dataDxfId="741"/>
    <tableColumn id="84" xr3:uid="{42DA1E2A-CF84-4A4F-81A2-D389BF7B74BC}" name="Aircraft General Familiarization (E190) and relevant technology" dataDxfId="740"/>
    <tableColumn id="85" xr3:uid="{2BFA7132-F591-4FBE-985D-32F2162B9AEE}" name="Aircraft General Familiarization (E190) and relevant technology2" dataDxfId="739"/>
    <tableColumn id="82" xr3:uid="{BC799BC6-B7C9-4B8A-AC67-48BF1C51278A}" name="Aircraft General Familiarization (B767) and relevant technology" dataDxfId="738"/>
    <tableColumn id="83" xr3:uid="{91761452-9A24-4807-BE07-B00C33879F00}" name="Aircraft General Familiarization ((B767) ) and relevant technology" dataDxfId="737"/>
    <tableColumn id="81" xr3:uid="{1013D78A-4C4B-4DF9-9D32-FBCACDFE1CA5}" name="Aircraft General Familiarization (A350) and relevant technology" dataDxfId="736"/>
    <tableColumn id="80" xr3:uid="{99A122B1-3AAE-4816-B133-8BAFB3A9731A}" name="Aircraft General Familiarization(A350)and relevant technology" dataDxfId="735"/>
    <tableColumn id="19" xr3:uid="{007CC1BB-F96D-4E88-A8C4-5D40F37F5ED8}" name="Company Policy, Procedures (MOE&amp;TPM) and 145 CAAT Laws and  NAA Regulations" dataDxfId="734"/>
    <tableColumn id="20" xr3:uid="{642A2863-B56D-4D07-A6A5-DF0A55200664}" name="Company Policy, Procedures (MOE&amp;TPM) and 145 CAAT Laws and Regulations9" dataDxfId="733">
      <calculatedColumnFormula>IF(ISBLANK(AF4),"",EDATE(AF4,24))</calculatedColumnFormula>
    </tableColumn>
    <tableColumn id="21" xr3:uid="{9024CAE3-46A3-48B6-8380-A1874ACB3148}" name="Fuel Tank Safety (Phase 1&amp;2)" dataDxfId="732"/>
    <tableColumn id="22" xr3:uid="{51323D6F-6EB2-4D64-AF82-76CD9AEDE317}" name="Fuel Tank Safety (Phase 1&amp;2)10" dataDxfId="731">
      <calculatedColumnFormula>IF(ISBLANK(AH4),"",EDATE(AH4,24))</calculatedColumnFormula>
    </tableColumn>
    <tableColumn id="23" xr3:uid="{DD63F832-70B0-4F7C-BA95-C8410FB6EF54}" name="Electrical Wiring Interconnection System" dataDxfId="730"/>
    <tableColumn id="49" xr3:uid="{3113CB90-3542-43A9-AFE6-EF28ECB6F6B2}" name="Electrical Wiring Interconnection System11" dataDxfId="729"/>
    <tableColumn id="53" xr3:uid="{5F3A700A-9E76-4049-9C9C-8CC46F772D51}" name="Special Operations (RVSM, PBN/RNP, CAT II/III)" dataDxfId="728"/>
    <tableColumn id="55" xr3:uid="{277794BF-B847-4434-8547-9C46F5870754}" name="Special Operations (RVSM, PBN/RNP, CAT II/III)19" dataDxfId="727"/>
    <tableColumn id="54" xr3:uid="{AFAD0A7A-2D2F-42F6-A716-973746321E51}" name="Special Operations (EDTO/ETOPS)" dataDxfId="726"/>
    <tableColumn id="24" xr3:uid="{9E8CA3FD-56E4-4C68-984A-B0A4D30C0717}" name="Special Operations (EDTO/ETOPS)20" dataDxfId="725">
      <calculatedColumnFormula>IF(ISBLANK(AJ4),"",EDATE(AJ4,24))</calculatedColumnFormula>
    </tableColumn>
    <tableColumn id="75" xr3:uid="{EA42A0BF-D75F-4944-9E66-7EC13FCDC839}" name="SAR-145 " dataDxfId="724"/>
    <tableColumn id="74" xr3:uid="{6634F519-4726-4E38-8BF8-F603C3E4947D}" name="SAR-145 2" dataDxfId="723"/>
    <tableColumn id="87" xr3:uid="{561C7868-C368-4DB2-BCEE-C1BC68C76B51}" name="MOLIT FSR Regulations  " dataDxfId="722"/>
    <tableColumn id="86" xr3:uid="{49C858BB-E78A-4EAF-9798-7E3C45241405}" name="MOLIT FSR Regulations  2" dataDxfId="721"/>
    <tableColumn id="25" xr3:uid="{238D796D-3DBC-41F0-8F1F-383D3857788F}" name="Aircraft Type (B737-600/700/800/900 (CFM56)) and relevant technology" dataDxfId="720"/>
    <tableColumn id="26" xr3:uid="{1B7B0112-AA79-4953-8BC1-F140A7D2C2CF}" name="Aircraft Type (B737-600/700/800/900 (CFM56)) and relevant technology2" dataDxfId="719"/>
    <tableColumn id="27" xr3:uid="{C6F9A30F-254F-46CF-AC17-4B6ECB5EC0B5}" name="Aircraft Type (B737-7/8/9 (CFM LEAP-1B)) and relevant technology" dataDxfId="718"/>
    <tableColumn id="28" xr3:uid="{3CF1AC8A-4AC2-4926-BB5C-1BFD39199CD9}" name="Aircraft Type (B737-7/8/9 (CFM LEAP-1B)) and relevant technology1" dataDxfId="717"/>
    <tableColumn id="29" xr3:uid="{C878A9BA-D826-4E72-AD57-D7FD53AABC5B}" name="Aircraft Type (A318/A319/A320/A321) and relevant technology" dataDxfId="716"/>
    <tableColumn id="61" xr3:uid="{3D0F3BD1-6A0B-437A-831B-4AD53970173F}" name="Aircraft Type (A318/A319/A320/A321) and relevant technology2" dataDxfId="715"/>
    <tableColumn id="60" xr3:uid="{DBB9C0E7-DCBE-4CAF-89DF-9966E16E9E61}" name="Aircraft Type (B777-200/300/300ER) and relevant technology" dataDxfId="714"/>
    <tableColumn id="63" xr3:uid="{F62097C0-1FF3-4E8B-9AE1-3592BCFB3E47}" name="Aircraft Type (B777-200/300/300ER) and relevant technology2" dataDxfId="713"/>
    <tableColumn id="65" xr3:uid="{BCA3A90C-A63B-4C31-9C15-D8AB899C0145}" name="Aircraft Type (A330-200/300/800/900) and relevant technology" dataDxfId="712"/>
    <tableColumn id="64" xr3:uid="{A2C1CF88-5A93-4F9F-BA05-68082B853435}" name="Aircraft Type (A330-200/300/800/900) and relevant technology2" dataDxfId="711"/>
    <tableColumn id="62" xr3:uid="{8EE6073F-5561-47C7-AB75-80D24CFA9F51}" name="Aircraft Type (B787-8/9/10) and relevant technology" dataDxfId="710"/>
    <tableColumn id="30" xr3:uid="{9B8C662D-E185-4CC9-96B6-877B1E243364}" name="Aircraft Type (B787-8/9/10) and relevant technology2" dataDxfId="709"/>
    <tableColumn id="77" xr3:uid="{95BB352F-E669-46D1-9297-02C95958896C}" name="Aircraft Type E190 and relevant technology" dataDxfId="708"/>
    <tableColumn id="76" xr3:uid="{D022D65D-0170-4DC5-9625-3E17D956DD00}" name="Aircraft Type E190 and relevant technology2" dataDxfId="707"/>
    <tableColumn id="90" xr3:uid="{7D90614B-3D5B-4234-B361-04AE852785B9}" name="Aircraft Type A350 and relevant technology"/>
    <tableColumn id="91" xr3:uid="{8D7AD3DC-A2E5-415F-BFB4-493FFE3CF8C0}" name="Aircraft Type A350 and relevant technology2"/>
    <tableColumn id="89" xr3:uid="{E63E2047-85DD-4C75-86BA-25362BABB44E}" name="Aircraft Type B767 and relevant technology"/>
    <tableColumn id="88" xr3:uid="{70D44ECC-FCAE-4A4F-B6E3-BE2708D93DFD}" name="Aircraft Type B767 and relevant technology2"/>
    <tableColumn id="31" xr3:uid="{26D06CF1-3FB6-489F-85AE-3B6157DCA347}" name="Aircraft Parts and Material Receiving " dataDxfId="706"/>
    <tableColumn id="40" xr3:uid="{E062D82C-52CC-4F7A-BBF0-D84D62DABB07}" name="Aircraft Parts and Material Receiving_x000a_** Recurrent for PAL CRS **" dataDxfId="705"/>
    <tableColumn id="33" xr3:uid="{BF5FC579-FA8F-429F-88F9-0286C81B1B8F}" name="Aircraft Inspection Techniques" dataDxfId="704"/>
    <tableColumn id="35" xr3:uid="{313D418C-64C4-416A-94B5-42FC4E704DDE}" name="CFM56 Engine Borescope Inspection" dataDxfId="703"/>
    <tableColumn id="36" xr3:uid="{5565A8ED-A5A0-429D-8EFA-95BF6AECF6C6}" name="CFM56 Engine Borescope Inspection2" dataDxfId="702"/>
    <tableColumn id="41" xr3:uid="{3297F404-1B99-418F-A205-5A9B49F0ACDE}" name="Internal Auditor" dataDxfId="701"/>
    <tableColumn id="43" xr3:uid="{420C6F2C-1DDF-4EE9-8E22-3FF8BA5B5EC4}" name="Lead Auditor" dataDxfId="700"/>
    <tableColumn id="51" xr3:uid="{C806387E-CE3E-4C26-9A52-20F0211BFE39}" name="Train the Trainer" dataDxfId="699"/>
    <tableColumn id="48" xr3:uid="{14F3AB49-1F8B-4C43-BD63-023F8C2788D0}" name="Engine Run Up" dataDxfId="698"/>
    <tableColumn id="39" xr3:uid="{A1B5ADAA-F61F-45C8-A0FE-C067D64FE5FB}" name="MNA, Myanmar_x000a_CAME Procedures Training For SAMS Team_x0009__x0009__x0009__x0009_" dataDxfId="697"/>
    <tableColumn id="47" xr3:uid="{BE6C86C1-34E6-4605-9A46-C081ACB10CC2}" name="9 AIR, China_x000a_Briefing General Service introduction of B737 series _x000a_(including B737-8) (Customer 9-Air)_x0009__x0009__x0009_" dataDxfId="696"/>
    <tableColumn id="50" xr3:uid="{5273F25E-D0E1-422A-8B48-31E75952446B}" name="SEJ, India_x000a_Documentation and procedure Training" dataDxfId="695"/>
    <tableColumn id="52" xr3:uid="{8D9DB77B-2A36-4A34-88E1-C1F261425970}" name="FFM, Malaysia_x000a_Company Procedures and AMOS Training_x0009__x0009__x0009_" dataDxfId="694"/>
    <tableColumn id="58" xr3:uid="{4F56127C-A00D-4CA8-8010-73DA07AA5143}" name="Work Instruction / Filling Instruction and Introduction to company manual (NOK Airlines)" dataDxfId="693"/>
    <tableColumn id="57" xr3:uid="{A3CC81B5-097E-4B44-B80C-BDBFDD995C35}" name="Outstation's training for aircraft dispatch B737-700/800 (for customer Ruili Airlines Co.,Ltd.)" dataDxfId="692"/>
    <tableColumn id="32" xr3:uid="{BB141573-5FA4-4276-AB56-F9D0719A53D6}" name="INDIGO_x000a_Documentation and Procedure Training " dataDxfId="691"/>
    <tableColumn id="94" xr3:uid="{17851806-3444-4D36-92CA-F3B31028EB3E}" name="INDIGO_x000a_Passenger to Freighter (P2F) A321 aircraft fitted with CFM 56 engines" dataDxfId="690"/>
    <tableColumn id="34" xr3:uid="{9E31D298-8ECB-4B88-8124-2877FC80CE7C}" name="AIXL_x000a_Documentation &amp; Procedure Training" dataDxfId="689"/>
    <tableColumn id="38" xr3:uid="{87D6C04A-0F5C-4A6B-925E-2AF9EDC1B2C6}" name="CENTRAL AIR_x000a_Documentation &amp; Procedure Training" dataDxfId="688"/>
    <tableColumn id="42" xr3:uid="{0490E568-98B1-4EC7-99DF-8A57716DFC42}" name="K-Mile_x000a_Documentation &amp; Procedure Training" dataDxfId="687"/>
    <tableColumn id="46" xr3:uid="{112BC51F-1A5E-4302-A3B1-3154AB0A2211}" name="PAL_x000a_Documentation &amp; Procedure Training" dataDxfId="686"/>
    <tableColumn id="44" xr3:uid="{A716E9E3-1774-4F95-B42C-464DEEC7592D}" name="Qingdao_x000a_Documentation &amp; Procedure Training" dataDxfId="685"/>
    <tableColumn id="45" xr3:uid="{64699C07-CC3F-4785-8C29-7EF10F5E644A}" name="CEBU_x000a_Documentation &amp; Procedure Training" dataDxfId="684"/>
    <tableColumn id="37" xr3:uid="{29673A96-6987-4F3F-9F9D-A3EF88758987}" name="AIR INDIA_x000a_Documentation &amp; Procedure Training" dataDxfId="683"/>
    <tableColumn id="59" xr3:uid="{FDA2084C-B680-4A1D-9198-58CFC20DB2A1}" name="AKASA_x000a_Documentation &amp; Procedure Training" dataDxfId="682"/>
    <tableColumn id="92" xr3:uid="{F24F370D-70B5-4AD4-95F5-37D5CC5F2A02}" name="AKASA_x000a_Boeing 737-8200 Familiarization Training "/>
    <tableColumn id="103" xr3:uid="{E872A4A0-499F-4D16-8405-79622BFD560B}" name="Akasa Airlines_x000a_Documentation and Procedure Training (EDTO)" dataDxfId="681"/>
    <tableColumn id="72" xr3:uid="{B977B409-B965-44AC-BA11-B301A4F2CD08}" name="Air Macau _x000a_Documentation &amp; Procedure Training" dataDxfId="680"/>
    <tableColumn id="56" xr3:uid="{9756D507-7D02-480C-8876-FDA048F02ECA}" name="LongHao_x000a_Documentation &amp; Procedure Training" dataDxfId="679"/>
    <tableColumn id="73" xr3:uid="{28483976-2897-44DB-AE19-4CBB57A3BB74}" name="Air Astana_x000a_Documentation &amp; Procedure Training" dataDxfId="678"/>
    <tableColumn id="79" xr3:uid="{C803115E-7B02-40DD-B888-4069F3581A0F}" name="Maalaysia Airline Documentation &amp; Procedure Training" dataDxfId="677"/>
    <tableColumn id="10" xr3:uid="{349A21E9-C4CE-4646-AD1D-1337B0B76972}" name="Scoot B787_x000a_Documentation &amp; Procedure Training" dataDxfId="676"/>
    <tableColumn id="78" xr3:uid="{304CEECE-3291-48AD-ADD7-10FA5A817AFC}" name="Scoot document and Procedure A320" dataDxfId="675"/>
    <tableColumn id="95" xr3:uid="{CC1B9DBD-617F-4F31-BE1B-31F6809E00D5}" name="Scoot document and Procedure  E190" dataDxfId="674"/>
    <tableColumn id="96" xr3:uid="{A0067162-39FB-433E-BF00-975B6F51F79B}" name="Eastar Jet _x000a_Documentation &amp; Procedure Training " dataDxfId="673"/>
    <tableColumn id="97" xr3:uid="{4BAC4990-D705-4035-A063-776B49AB343A}" name="SriLankan Airlines Document, Procedures &amp; ETOPS_EDTO Training" dataDxfId="672"/>
    <tableColumn id="104" xr3:uid="{F79C09BE-A44F-4FDE-9CBF-087F04424705}" name="SriLankan Airlines _x000a_Procedure Training Document for UL Documentation" dataDxfId="671"/>
    <tableColumn id="98" xr3:uid="{D497A73C-9F7B-4B26-8759-2E494BB5A5EE}" name="_x000a_(Line Maintenance Procedures Training)_x000a_Sichuan Air" dataDxfId="670"/>
    <tableColumn id="99" xr3:uid="{1AA55325-5DC0-4A3F-BC0E-9EDFECFDC39E}" name="Etihad Airways eTechLog CBT training, GCAA Regulations for Contracted AMOs and Etihad D&amp;P Recurrent" dataDxfId="669"/>
    <tableColumn id="101" xr3:uid="{17535565-0C1E-4069-904E-AD9C5CB20FD3}" name="United Airlines_x000a_Documentation and Procedure Training" dataDxfId="668"/>
    <tableColumn id="100" xr3:uid="{64219045-385A-47C0-9836-1B23FFCD2277}" name="Citilink Maintenance Procedure Training " dataDxfId="66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31EFB-01B4-486B-A3F8-D5C9E71F7658}" name="Table1" displayName="Table1" ref="B3:AU21" totalsRowShown="0" headerRowDxfId="580" dataDxfId="579" tableBorderDxfId="578">
  <autoFilter ref="B3:AU21" xr:uid="{8A731EFB-01B4-486B-A3F8-D5C9E71F7658}"/>
  <tableColumns count="46">
    <tableColumn id="1" xr3:uid="{10465A57-D8FF-4F6E-9860-88622426E3F8}" name="Staff ID" dataDxfId="577"/>
    <tableColumn id="2" xr3:uid="{9EDC65B6-6503-4CE5-89DF-E9DD8E94F18F}" name="Name" dataDxfId="576"/>
    <tableColumn id="3" xr3:uid="{19D8BFBD-909F-4CB0-99D6-A446EBA7DDFC}" name="Surname" dataDxfId="575"/>
    <tableColumn id="4" xr3:uid="{36643EAF-02A8-4F51-A3CA-5DE2ECAB44CF}" name="Position" dataDxfId="574"/>
    <tableColumn id="5" xr3:uid="{89F93548-C3A2-45F9-968A-7F38CE426B69}" name="Human Factors" dataDxfId="573"/>
    <tableColumn id="6" xr3:uid="{8AACFF2F-A0A1-4ECA-BF58-D43136C0400D}" name="Human Factors2" dataDxfId="572">
      <calculatedColumnFormula>IF(ISBLANK(F4),"",EDATE(F4,24))</calculatedColumnFormula>
    </tableColumn>
    <tableColumn id="7" xr3:uid="{72171FBA-7FEC-4930-B6D1-F0191E756D89}" name="Safety Management System" dataDxfId="571"/>
    <tableColumn id="8" xr3:uid="{BD413C72-E0D6-47A6-B18E-9C3797A9DD7F}" name="Safety Management System3" dataDxfId="570"/>
    <tableColumn id="9" xr3:uid="{3E71D737-0ED1-49CB-8AC5-B3B014323EAD}" name="Aviation Security Awareness" dataDxfId="569"/>
    <tableColumn id="10" xr3:uid="{A01F5BE2-5E7C-4776-88F2-0454C5F74E97}" name="Aviation Security Awareness4" dataDxfId="568">
      <calculatedColumnFormula>IF(ISBLANK(J4),"",EDATE(J4,24))</calculatedColumnFormula>
    </tableColumn>
    <tableColumn id="11" xr3:uid="{70B47E7A-25F7-496C-9E6D-68728CEFE73C}" name="Dangerous Goods Awareness" dataDxfId="567"/>
    <tableColumn id="12" xr3:uid="{E4C80139-05AC-4EBC-86E9-65FBE5E942F5}" name="Dangerous Goods Awareness5" dataDxfId="566">
      <calculatedColumnFormula>IF(ISBLANK(L4),"",EDATE(L4,24))</calculatedColumnFormula>
    </tableColumn>
    <tableColumn id="13" xr3:uid="{41A4A7AD-6CB0-4F34-B312-8D6C02FE8B82}" name="Aircraft General Familiarization (B737-600/700/800/900 (CFM56)) and relevant technology" dataDxfId="565"/>
    <tableColumn id="14" xr3:uid="{A9605FB0-ABEB-415E-9C1B-D603B6CDAC93}" name="Aircraft General Familiarization (B737-600/700/800/900 (CFM56)) and relevant technology6" dataDxfId="564"/>
    <tableColumn id="15" xr3:uid="{65240578-18A0-4C94-B7BB-644A68B5E020}" name="Aircraft General Familiarization (B737-7/8/9 (CFM LEAP-1B) and relevant technology" dataDxfId="563"/>
    <tableColumn id="16" xr3:uid="{D294A80F-C36D-47E3-B588-BAD4E64BF893}" name="Aircraft General Familiarization (B737-7/8/9 (CFM LEAP-1B) and relevant technology7" dataDxfId="562"/>
    <tableColumn id="17" xr3:uid="{451F4B8F-4A87-4E9A-801D-E0C147D45775}" name="Aircraft General Familiarization (A318/A319/A320/321) and relevant technology" dataDxfId="561"/>
    <tableColumn id="18" xr3:uid="{9A615D09-7FCC-42F9-B81D-DC394D2671B5}" name="Aircraft General Familiarization (A318/A319/A320/321) and relevant technology8" dataDxfId="560"/>
    <tableColumn id="19" xr3:uid="{B028AC01-FEDA-4DB5-9F37-BC4FE60BCEA2}" name="Company Policy, Procedures (MOE&amp;TPM) and 145 CAAT Laws and Regulations" dataDxfId="559"/>
    <tableColumn id="20" xr3:uid="{0F05DD80-916F-4753-B02E-F35ABF90EBAA}" name="Company Policy, Procedures (MOE&amp;TPM) and 145 CAAT Laws and Regulations9" dataDxfId="558">
      <calculatedColumnFormula>IF(ISBLANK(T4),"",EDATE(T4,24))</calculatedColumnFormula>
    </tableColumn>
    <tableColumn id="21" xr3:uid="{0E8783F0-6A11-4C78-BB1F-F6E9D48BF070}" name="Fuel Tank Safety (Phase 1&amp;2)" dataDxfId="557"/>
    <tableColumn id="22" xr3:uid="{C0D83D6B-D38A-4861-8C3F-7F328AC46AA9}" name="Fuel Tank Safety (Phase 1&amp;2)10" dataDxfId="556">
      <calculatedColumnFormula>IF(ISBLANK(V4),"",EDATE(V4,24))</calculatedColumnFormula>
    </tableColumn>
    <tableColumn id="23" xr3:uid="{E381CE10-E711-428A-A42C-1BF10140E28C}" name="Electrical Wiring Interconnection System" dataDxfId="555"/>
    <tableColumn id="24" xr3:uid="{15D309B8-6102-4640-8644-3BBC8C9D8D46}" name="Electrical Wiring Interconnection System11" dataDxfId="554">
      <calculatedColumnFormula>IF(ISBLANK(X4),"",EDATE(X4,24))</calculatedColumnFormula>
    </tableColumn>
    <tableColumn id="25" xr3:uid="{92A52AFB-3597-4B31-A4CD-ADA5AA03CA39}" name="Aircraft Type (B737-600/700/800/900 (CFM56)) and relevant technology" dataDxfId="553"/>
    <tableColumn id="26" xr3:uid="{D78766A8-5F24-4075-AC8A-28EC4D18B74A}" name="Aircraft Type (B737-600/700/800/900 (CFM56)) and relevant technology12" dataDxfId="552"/>
    <tableColumn id="27" xr3:uid="{D07A42A8-5E7A-49F3-896F-12D88EA11355}" name="Aircraft Type (B737-7/8/9 (CFM LEAP-1B)) and relevant technology" dataDxfId="551"/>
    <tableColumn id="28" xr3:uid="{06431314-E12C-4383-9404-91CD6542657D}" name="Aircraft Type (B737-7/8/9 (CFM LEAP-1B)) and relevant technology13" dataDxfId="550"/>
    <tableColumn id="29" xr3:uid="{4E315048-43B1-48E2-986F-E517642D1A71}" name="Aircraft Type (A318/A319/A320/A321) and relevant technology" dataDxfId="549"/>
    <tableColumn id="30" xr3:uid="{3B85952D-D452-49FB-93AB-001EFE830745}" name="Aircraft Type (A318/A319/A320/A321) and relevant technology14" dataDxfId="548"/>
    <tableColumn id="31" xr3:uid="{B377A2D7-E0E1-4E0D-B056-6C66DFEB489B}" name="Aircraft Parts and Material Receiving" dataDxfId="547"/>
    <tableColumn id="32" xr3:uid="{04FE686E-54D5-4CD4-8255-13294015B515}" name="Aircraft Parts and Material Receiving15" dataDxfId="546"/>
    <tableColumn id="33" xr3:uid="{62581793-A590-47CA-90AD-9A3B3B8CE12E}" name="Aircraft Inspection Techniques" dataDxfId="545"/>
    <tableColumn id="34" xr3:uid="{1801EE67-8C2E-4015-9A6D-61395A675312}" name="Aircraft Inspection Techniques16" dataDxfId="544"/>
    <tableColumn id="35" xr3:uid="{2C103797-C980-46F8-86A9-DD6D4B6B4383}" name="CFM56 Engine Borescope Inspection" dataDxfId="543"/>
    <tableColumn id="36" xr3:uid="{3A84F5D6-5F30-42C8-9D1C-AD973C739DF3}" name="CFM56 Engine Borescope Inspection17" dataDxfId="542"/>
    <tableColumn id="37" xr3:uid="{3951C241-2290-4F1C-86BF-464F7FE0ECE6}" name="PW150 Engine Borescope Inspection" dataDxfId="541"/>
    <tableColumn id="38" xr3:uid="{4AE4139F-F2A7-4FF0-9C6B-211F85E7F0F2}" name="PW150 Engine Borescope Inspection18" dataDxfId="540"/>
    <tableColumn id="39" xr3:uid="{D747D53E-2033-4765-9FC9-ABACE6F57549}" name="Special Operations (RVSM, PBN/RNP, CAT II/III)" dataDxfId="539"/>
    <tableColumn id="40" xr3:uid="{456398AA-6D66-4978-9D0F-4942D587449E}" name="Special Operations (RVSM, PBN/RNP, CAT II/III)19" dataDxfId="538"/>
    <tableColumn id="41" xr3:uid="{5D1DC838-CF7F-47D9-B8E3-1B6317033A0E}" name="Internal Audit" dataDxfId="537"/>
    <tableColumn id="42" xr3:uid="{FDBC57D4-0DF6-4600-9537-9F8A11D806EA}" name="Internal Audit20" dataDxfId="536"/>
    <tableColumn id="43" xr3:uid="{9B226861-6527-4F6A-BB93-D40BA71E81FE}" name="Lead Auditor" dataDxfId="535"/>
    <tableColumn id="44" xr3:uid="{F1D98517-6256-475D-859B-92515822FE32}" name="Lead Auditor21" dataDxfId="534"/>
    <tableColumn id="45" xr3:uid="{1D571FFC-391B-4BD9-9D60-BBC682FA30D1}" name="Train the Trainer" dataDxfId="533"/>
    <tableColumn id="46" xr3:uid="{0760FA44-AE5A-420F-8A75-FE56E4AA2C44}" name="Train the Trainer22" dataDxfId="5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2573DA-1D43-4E1F-9245-0FB7ACA7A606}" name="Table13" displayName="Table13" ref="B3:CY110" totalsRowShown="0" headerRowDxfId="193" dataDxfId="192" tableBorderDxfId="191">
  <autoFilter ref="B3:CY110" xr:uid="{CD2573DA-1D43-4E1F-9245-0FB7ACA7A606}"/>
  <tableColumns count="102">
    <tableColumn id="9" xr3:uid="{7DCF2601-585F-40E0-B9A0-B69BC33DF144}" name="No." dataDxfId="190"/>
    <tableColumn id="1" xr3:uid="{5FF3FD7A-2443-4028-B62C-8A6220DE53D5}" name="Staff ID" dataDxfId="189"/>
    <tableColumn id="2" xr3:uid="{FF598DA3-250E-4732-A3EF-F8B358A09C9C}" name="Name" dataDxfId="188"/>
    <tableColumn id="3" xr3:uid="{F81D0618-189D-4B7E-8C95-F14D9D9EEAF2}" name="Surname" dataDxfId="187"/>
    <tableColumn id="4" xr3:uid="{2142943D-B5F5-47D1-8223-F0E8F8021072}" name="Position" dataDxfId="186"/>
    <tableColumn id="93" xr3:uid="{47B62366-D8F8-4F75-B447-CA345B1120B1}" name="Hold type" dataDxfId="185"/>
    <tableColumn id="5" xr3:uid="{B61DCCDF-B5D8-463F-8331-256BC20D5538}" name="Human Factors" dataDxfId="184"/>
    <tableColumn id="6" xr3:uid="{AE3FE00D-E01E-4BAA-8644-89BE1430C367}" name="Human Factor" dataDxfId="183">
      <calculatedColumnFormula>IF(ISBLANK(H4),"",EDATE(H4,24))</calculatedColumnFormula>
    </tableColumn>
    <tableColumn id="7" xr3:uid="{01419B40-EE63-4FBC-9210-ACD9B724EB4B}" name="Safety Management System" dataDxfId="182"/>
    <tableColumn id="8" xr3:uid="{05A61D30-433F-4702-8A99-937FDDF19B98}" name="Safety Management System3" dataDxfId="181"/>
    <tableColumn id="11" xr3:uid="{DFECE9C3-EDE5-4624-8617-F9249128BF7F}" name="Dangerous Goods Awareness" dataDxfId="180"/>
    <tableColumn id="12" xr3:uid="{1C8F8AA0-9EDC-464D-8115-623A88839275}" name="Dangerous Goods Awareness5" dataDxfId="179">
      <calculatedColumnFormula>IF(ISBLANK(L4),"",EDATE(L4,24))</calculatedColumnFormula>
    </tableColumn>
    <tableColumn id="13" xr3:uid="{6B15C9B8-E71C-4660-A6C8-A74406A98BED}" name="Aircraft General Familiarization (B737-600/700/800/900 (CFM56)) and relevant technology" dataDxfId="178"/>
    <tableColumn id="14" xr3:uid="{48BAD22D-B7EE-41A2-9FA4-E9FED2544EC2}" name="Aircraft General Familiarization (B737-600/700/800/900 (CFM56)) and relevant technology6" dataDxfId="177"/>
    <tableColumn id="15" xr3:uid="{4D6F3672-0DF5-46FA-B1A1-7B36C8C7A247}" name="Aircraft General Familiarization (B737-7/8/9 (CFM LEAP-1B) and relevant technology" dataDxfId="176"/>
    <tableColumn id="16" xr3:uid="{CCECEB0E-1CE5-4784-829C-6B34949A1736}" name="Aircraft General Familiarization (B737-7/8/9 (CFM LEAP-1B) and relevant technology7" dataDxfId="175"/>
    <tableColumn id="17" xr3:uid="{169A9724-C398-4AB0-9871-4C71DC6AE218}" name="Aircraft General Familiarization (A318/A319/A320/321) and relevant technology" dataDxfId="174"/>
    <tableColumn id="18" xr3:uid="{FAA5EBB7-C8F8-43F7-B182-0093A1214E57}" name="Aircraft General Familiarization (A318/A319/A320/321) and relevant technology2" dataDxfId="173"/>
    <tableColumn id="66" xr3:uid="{47E3FB00-5C30-4FAA-87C2-FB3094847435}" name="Aircraft General Familiarization (B777-200/300/300ER) and relevant technology" dataDxfId="172"/>
    <tableColumn id="70" xr3:uid="{92BFC10D-D4CA-4A4E-9FA0-3F962D401B8E}" name="Aircraft General Familiarization (B777-200/300/300ER) and relevant technology2" dataDxfId="171"/>
    <tableColumn id="71" xr3:uid="{A1DBCDC7-42FD-42F3-971B-A0DDC9FF46E3}" name="Aircraft General Familiarization (A330-200/300/800/900) and relevant technology" dataDxfId="170"/>
    <tableColumn id="69" xr3:uid="{65072EF9-A1D4-47A7-94F4-00EE4EAAE1BC}" name="Aircraft General Familiarization (A330-200/300/800/900) and relevant technology2" dataDxfId="169"/>
    <tableColumn id="68" xr3:uid="{BDFB30A5-A662-4D21-A259-7969D1920B3D}" name="Aircraft General Familiarization (B787-8/9) and relevant technology" dataDxfId="168"/>
    <tableColumn id="67" xr3:uid="{EAB52980-A27C-4679-9E1A-A6796F001ED8}" name="Aircraft General Familiarization (B787-8/9) and relevant technology2" dataDxfId="167"/>
    <tableColumn id="84" xr3:uid="{CC2DAAF8-7F4E-48C9-8C0A-58D7248B86DB}" name="Aircraft General Familiarization (E190) and relevant technology" dataDxfId="166"/>
    <tableColumn id="85" xr3:uid="{19107F65-5B87-46AF-B60A-80193AD74C31}" name="Aircraft General Familiarization (E190) and relevant technology2" dataDxfId="165"/>
    <tableColumn id="82" xr3:uid="{00591BB3-53DD-441A-829D-3287BB2CCA06}" name="Aircraft General Familiarization (B767) and relevant technology" dataDxfId="164"/>
    <tableColumn id="83" xr3:uid="{F003ECE6-F36C-4557-A5DA-C0B039880377}" name="Aircraft General Familiarization ((B767) ) and relevant technology" dataDxfId="163"/>
    <tableColumn id="81" xr3:uid="{C4FB767B-314B-4590-B8A2-6E5685218980}" name="Aircraft General Familiarization (A350) and relevant technology" dataDxfId="162"/>
    <tableColumn id="80" xr3:uid="{30C58B51-F6B0-441F-91B2-910B3D5F980A}" name="Aircraft General Familiarization(A350)and relevant technology" dataDxfId="161"/>
    <tableColumn id="19" xr3:uid="{ED46A3AB-326E-4A49-8E2B-F29DECDDAFF0}" name="Company Policy, Procedures (MOE&amp;TPM) and 145 CAAT Laws and  NAA Regulations" dataDxfId="160"/>
    <tableColumn id="20" xr3:uid="{4B444163-18B0-49AF-B838-AE63B6162FF5}" name="Company Policy, Procedures (MOE&amp;TPM) and 145 CAAT Laws and Regulations9" dataDxfId="159">
      <calculatedColumnFormula>IF(ISBLANK(AF4),"",EDATE(AF4,24))</calculatedColumnFormula>
    </tableColumn>
    <tableColumn id="21" xr3:uid="{4DEA8235-FA44-4E2D-BE54-58D206DBFD7A}" name="Fuel Tank Safety (Phase 1&amp;2)" dataDxfId="158"/>
    <tableColumn id="22" xr3:uid="{1ADEB6F5-2F89-4EDD-82D6-63C95DF30600}" name="Fuel Tank Safety (Phase 1&amp;2)10" dataDxfId="157">
      <calculatedColumnFormula>IF(ISBLANK(AH4),"",EDATE(AH4,24))</calculatedColumnFormula>
    </tableColumn>
    <tableColumn id="23" xr3:uid="{B9668DB5-82EA-408C-BAFC-875A520DDE80}" name="Electrical Wiring Interconnection System" dataDxfId="156"/>
    <tableColumn id="49" xr3:uid="{D29B32C5-CE72-40B0-8FDC-2F551602EA41}" name="Electrical Wiring Interconnection System11" dataDxfId="155"/>
    <tableColumn id="53" xr3:uid="{EA7CD4B3-B0B6-44D4-9D59-7DCDD62A8C9A}" name="Special Operations (RVSM, PBN/RNP, CAT II/III)" dataDxfId="154"/>
    <tableColumn id="55" xr3:uid="{E12DEFAC-B37E-4A96-854F-D0433DE5A5A2}" name="Special Operations (RVSM, PBN/RNP, CAT II/III)19" dataDxfId="153"/>
    <tableColumn id="54" xr3:uid="{1289654C-9917-4C6C-9801-92DE9CA400E7}" name="Special Operations (EDTO/ETOPS)" dataDxfId="152"/>
    <tableColumn id="24" xr3:uid="{8F580BD8-DDF4-4255-9883-4460A6B79196}" name="Special Operations (EDTO/ETOPS)20" dataDxfId="151">
      <calculatedColumnFormula>IF(ISBLANK(AJ4),"",EDATE(AJ4,24))</calculatedColumnFormula>
    </tableColumn>
    <tableColumn id="75" xr3:uid="{A2EB3363-154B-4708-9AA9-B78F88876E7D}" name="SAR-145 " dataDxfId="150"/>
    <tableColumn id="74" xr3:uid="{E2BAF388-632A-4C12-9962-CAC806CDBE6D}" name="SAR-145 2" dataDxfId="149"/>
    <tableColumn id="87" xr3:uid="{DFE6F074-4DD9-4E7B-BCD3-90D05DC2195C}" name="MOLIT FSR Regulations  " dataDxfId="148"/>
    <tableColumn id="86" xr3:uid="{368B67ED-67BE-4998-A793-0B931BD03F24}" name="MOLIT FSR Regulations  2" dataDxfId="147"/>
    <tableColumn id="25" xr3:uid="{877FB836-D3C2-4895-A285-007BE6684775}" name="Aircraft Type (B737-600/700/800/900 (CFM56)) and relevant technology" dataDxfId="146"/>
    <tableColumn id="26" xr3:uid="{8E139FC5-06FE-43AC-B6C7-79D0352235FC}" name="Aircraft Type (B737-600/700/800/900 (CFM56)) and relevant technology2" dataDxfId="145"/>
    <tableColumn id="27" xr3:uid="{E1114079-5EBC-4EC4-BE3E-A1ED1B133E47}" name="Aircraft Type (B737-7/8/9 (CFM LEAP-1B)) and relevant technology" dataDxfId="144"/>
    <tableColumn id="28" xr3:uid="{A57B30B6-EEE4-43F0-AE7B-BF07DD296EBD}" name="Aircraft Type (B737-7/8/9 (CFM LEAP-1B)) and relevant technology1" dataDxfId="143"/>
    <tableColumn id="29" xr3:uid="{DA30A8C5-5E2C-48EB-AF4E-E14F178EB48B}" name="Aircraft Type (A318/A319/A320/A321) and relevant technology" dataDxfId="142"/>
    <tableColumn id="61" xr3:uid="{A928AFF9-7741-4DCC-BBC1-EEBD2181E578}" name="Aircraft Type (A318/A319/A320/A321) and relevant technology2" dataDxfId="141"/>
    <tableColumn id="60" xr3:uid="{1684F4E1-C89A-4ED7-B151-44F3E4D2D549}" name="Aircraft Type (B777-200/300/300ER) and relevant technology" dataDxfId="140"/>
    <tableColumn id="63" xr3:uid="{781916D0-E1D8-4FE0-88A5-DFE5AB52FCB8}" name="Aircraft Type (B777-200/300/300ER) and relevant technology2" dataDxfId="139"/>
    <tableColumn id="65" xr3:uid="{A9B940E7-C24F-4404-B2A0-34DBA334AD04}" name="Aircraft Type (A330-200/300/800/900) and relevant technology" dataDxfId="138"/>
    <tableColumn id="64" xr3:uid="{04235CC8-E946-4C66-BE88-8BCEF3F0107A}" name="Aircraft Type (A330-200/300/800/900) and relevant technology2" dataDxfId="137"/>
    <tableColumn id="62" xr3:uid="{E2720439-CF5F-41EC-A1F6-4B4E6EEE118A}" name="Aircraft Type (B787-8/9/10) and relevant technology" dataDxfId="136"/>
    <tableColumn id="30" xr3:uid="{4C50060C-B709-4979-B6A4-300676276454}" name="Aircraft Type (B787-8/9/10) and relevant technology2" dataDxfId="135"/>
    <tableColumn id="77" xr3:uid="{B27BFDB5-B1D3-4A94-99C0-5BB9CBAB1FAD}" name="Aircraft Type E190 and relevant technology" dataDxfId="134"/>
    <tableColumn id="76" xr3:uid="{6D7D9D5A-A486-4ED2-9078-29F2335AFE45}" name="Aircraft Type E190 and relevant technology2" dataDxfId="133"/>
    <tableColumn id="90" xr3:uid="{486E7C33-639C-4FAA-8D72-20997548B8C0}" name="Aircraft Type A350 and relevant technology"/>
    <tableColumn id="91" xr3:uid="{C6F3AC00-454D-49F3-92DB-01C0410B0F3D}" name="Aircraft Type A350 and relevant technology2"/>
    <tableColumn id="89" xr3:uid="{6334BC1D-C472-4A13-B50B-F6379343FDCB}" name="Aircraft Type B767 and relevant technology"/>
    <tableColumn id="88" xr3:uid="{0492555D-C25A-47D8-B070-399320992375}" name="Aircraft Type B767 and relevant technology2"/>
    <tableColumn id="31" xr3:uid="{CCF9AC30-7913-40D4-95B6-BF58EFE9FF68}" name="Aircraft Parts and Material Receiving " dataDxfId="132"/>
    <tableColumn id="40" xr3:uid="{21C6472B-4CEE-49E6-97DF-4EFD75728850}" name="Aircraft Parts and Material Receiving_x000a_** Recurrent for PAL CRS **" dataDxfId="131"/>
    <tableColumn id="33" xr3:uid="{5949508B-F4EB-43D8-8011-15E9C670BA44}" name="Aircraft Inspection Techniques" dataDxfId="130"/>
    <tableColumn id="35" xr3:uid="{FFB8B347-387A-4FAF-9423-782ACE8F2A10}" name="CFM56 Engine Borescope Inspection" dataDxfId="129"/>
    <tableColumn id="36" xr3:uid="{73666637-6152-41D9-9CBE-5A263912D203}" name="CFM56 Engine Borescope Inspection2" dataDxfId="128"/>
    <tableColumn id="41" xr3:uid="{9E1E2B8D-123C-4D80-9C54-79B7C2CB6D83}" name="Internal Auditor" dataDxfId="127"/>
    <tableColumn id="43" xr3:uid="{73741F1F-7FD7-4867-909E-A4505DFE54BA}" name="Lead Auditor" dataDxfId="126"/>
    <tableColumn id="51" xr3:uid="{260ABF7A-2636-4255-A732-7A30C20C43C8}" name="Train the Trainer" dataDxfId="125"/>
    <tableColumn id="48" xr3:uid="{D0B5E0E2-133C-4AE4-88F7-A3ADC285C1F8}" name="Engine Run Up" dataDxfId="124"/>
    <tableColumn id="39" xr3:uid="{E6123BD8-0298-4A92-A222-1DB36A6AAE55}" name="MNA, Myanmar_x000a_CAME Procedures Training For SAMS Team_x0009__x0009__x0009__x0009_" dataDxfId="123"/>
    <tableColumn id="47" xr3:uid="{C0A2E4FF-2AC0-42DB-B4BD-A9B801A36562}" name="9 AIR, China_x000a_Briefing General Service introduction of B737 series _x000a_(including B737-8) (Customer 9-Air)_x0009__x0009__x0009_" dataDxfId="122"/>
    <tableColumn id="50" xr3:uid="{D32224CC-FE53-4E92-A2A2-F042B7927050}" name="SEJ, India_x000a_Documentation and procedure Training" dataDxfId="121"/>
    <tableColumn id="52" xr3:uid="{653D8F90-2EF5-4B7C-AFF3-61E2C7CC48CE}" name="FFM, Malaysia_x000a_Company Procedures and AMOS Training_x0009__x0009__x0009_" dataDxfId="120"/>
    <tableColumn id="58" xr3:uid="{351D1AE7-CCE2-4470-A36E-179781294A36}" name="Work Instruction / Filling Instruction and Introduction to company manual (NOK Airlines)" dataDxfId="119"/>
    <tableColumn id="57" xr3:uid="{3F61337E-E8F2-4E73-9E98-FEBF805D9A3B}" name="Outstation's training for aircraft dispatch B737-700/800 (for customer Ruili Airlines Co.,Ltd.)" dataDxfId="118"/>
    <tableColumn id="32" xr3:uid="{E0CBD047-DA43-4669-A584-BF5A9ACC362E}" name="INDIGO_x000a_Documentation and Procedure Training " dataDxfId="117"/>
    <tableColumn id="94" xr3:uid="{0B67BBA4-072E-4ED4-9DDC-990E88506127}" name="INDIGO_x000a_Passenger to Freighter (P2F) A321 aircraft fitted with CFM 56 engines" dataDxfId="116"/>
    <tableColumn id="34" xr3:uid="{78F4ECE8-8673-4720-97AB-CE7DB36625CE}" name="AIXL_x000a_Documentation &amp; Procedure Training" dataDxfId="115"/>
    <tableColumn id="38" xr3:uid="{9D4DC87F-77BD-4763-87CF-668EC76186D2}" name="CENTRAL AIR_x000a_Documentation &amp; Procedure Training" dataDxfId="114"/>
    <tableColumn id="42" xr3:uid="{DD39C562-932E-45C4-A358-CBD68A7F0FDE}" name="K-Mile_x000a_Documentation &amp; Procedure Training" dataDxfId="113"/>
    <tableColumn id="46" xr3:uid="{8A7194EB-FCA9-456F-A3EC-D7D8B3AAE17A}" name="PAL_x000a_Documentation &amp; Procedure Training" dataDxfId="112"/>
    <tableColumn id="44" xr3:uid="{8D6EBC0C-93C5-448F-B155-6F1ADC10DBA1}" name="Qingdao_x000a_Documentation &amp; Procedure Training" dataDxfId="111"/>
    <tableColumn id="45" xr3:uid="{6A41BEE2-C4CA-485A-9192-AE0DD9448FFB}" name="CEBU_x000a_Documentation &amp; Procedure Training" dataDxfId="110"/>
    <tableColumn id="37" xr3:uid="{82D716B6-5395-4CD0-9A23-F922899FDC34}" name="AIR INDIA_x000a_Documentation &amp; Procedure Training" dataDxfId="109"/>
    <tableColumn id="59" xr3:uid="{EF297641-804D-4A8A-83F5-A5720B08AE68}" name="AKASA_x000a_Documentation &amp; Procedure Training" dataDxfId="108"/>
    <tableColumn id="92" xr3:uid="{12F0E474-12A4-46BD-86F5-3B39CA0396A2}" name="AKASA_x000a_Boeing 737-8200 Familiarization Training "/>
    <tableColumn id="103" xr3:uid="{4567A26C-462C-4CA1-BFB2-877C76878C30}" name="Akasa Airlines_x000a_Documentation and Procedure Training (EDTO)" dataDxfId="107"/>
    <tableColumn id="72" xr3:uid="{FE1A612F-FCB4-41B3-9B22-1A2D3426B55B}" name="Air Macau _x000a_Documentation &amp; Procedure Training" dataDxfId="106"/>
    <tableColumn id="56" xr3:uid="{92EE1C09-1FC9-4F35-8E6A-25DA71E35133}" name="LongHao_x000a_Documentation &amp; Procedure Training" dataDxfId="105"/>
    <tableColumn id="73" xr3:uid="{00A35762-03CA-4CE3-9C4B-6DD10DCEA054}" name="Air Astana_x000a_Documentation &amp; Procedure Training" dataDxfId="104"/>
    <tableColumn id="79" xr3:uid="{3C872CFA-8D21-4FB2-A95D-7E1517C87B41}" name="Maalaysia Airline Documentation &amp; Procedure Training" dataDxfId="103"/>
    <tableColumn id="10" xr3:uid="{C532D922-49D5-4A3E-8179-083C949C71C2}" name="Scoot B787_x000a_Documentation &amp; Procedure Training" dataDxfId="102"/>
    <tableColumn id="78" xr3:uid="{3051BF47-B2E2-4958-B0D2-5E9D9BC449EB}" name="Scoot document and Procedure A320" dataDxfId="101"/>
    <tableColumn id="95" xr3:uid="{1B7130E1-EABA-450E-AD42-BF789BC19C64}" name="Scoot document and Procedure  E190" dataDxfId="100"/>
    <tableColumn id="96" xr3:uid="{BFCBFB2B-7373-4920-9157-50937F91BFC1}" name="Eastar Jet _x000a_Documentation &amp; Procedure Training " dataDxfId="99"/>
    <tableColumn id="97" xr3:uid="{B32D0B06-32C1-45B8-8251-FC240A1A74EE}" name="SriLankan Airlines Document, Procedures &amp; ETOPS_EDTO Training" dataDxfId="98"/>
    <tableColumn id="98" xr3:uid="{19D1FAAA-D76D-4B30-8A3C-3F67E8F1FC8E}" name="_x000a_(Line Maintenance Procedures Training)_x000a_Sichuan Air" dataDxfId="97"/>
    <tableColumn id="99" xr3:uid="{C478400D-0003-4B87-9DC5-1AEACF2A5926}" name="Etihad Airways eTechLog CBT training, GCAA Regulations for Contracted AMOs and Etihad D&amp;P Recurrent" dataDxfId="96"/>
    <tableColumn id="101" xr3:uid="{8A39D415-751A-43F4-8CC5-89440ADCF28B}" name="United Airlines_x000a_Documentation and Procedure Training" dataDxfId="95"/>
    <tableColumn id="100" xr3:uid="{8171630D-A661-4E17-9CE1-5A54DD9B0076}" name="Citilink Maintenance Procedure Training " dataDxfId="9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3E58AE-F51A-4AF3-8C3B-1D1FF4192BCA}" name="Table134" displayName="Table134" ref="C3:AE5" totalsRowShown="0" headerRowDxfId="74" dataDxfId="73" tableBorderDxfId="72">
  <autoFilter ref="C3:AE5" xr:uid="{CD2573DA-1D43-4E1F-9245-0FB7ACA7A606}"/>
  <sortState xmlns:xlrd2="http://schemas.microsoft.com/office/spreadsheetml/2017/richdata2" ref="C4:AE5">
    <sortCondition ref="C3:C5"/>
  </sortState>
  <tableColumns count="29">
    <tableColumn id="1" xr3:uid="{398DA213-7D51-46C5-A8CF-AC6EB60AC4D8}" name="Staff ID" dataDxfId="71"/>
    <tableColumn id="2" xr3:uid="{B61D455F-4260-4B95-A75F-D86AF8B4BC85}" name="Name" dataDxfId="70"/>
    <tableColumn id="3" xr3:uid="{78B7A2AE-5AF8-498F-8971-21BFEEC506B4}" name="Surname" dataDxfId="69"/>
    <tableColumn id="4" xr3:uid="{DA61CDA4-A8E6-46B7-AEE7-F903F10BC1BE}" name="Position" dataDxfId="68"/>
    <tableColumn id="5" xr3:uid="{9FBD1778-3833-4E0D-88A9-4E8F8AC6A373}" name="Human Factors" dataDxfId="67"/>
    <tableColumn id="6" xr3:uid="{49B07172-6C8D-458B-83FB-033060D45038}" name="Human Factors2" dataDxfId="66">
      <calculatedColumnFormula>IF(ISBLANK(G4),"",EDATE(G4,24))</calculatedColumnFormula>
    </tableColumn>
    <tableColumn id="7" xr3:uid="{D434E710-4C79-434C-A476-80AA0E3939D1}" name="Safety Management System" dataDxfId="65"/>
    <tableColumn id="8" xr3:uid="{B8651F08-B9A5-4734-9C7D-A1AF4852A3C6}" name="Safety Management System3" dataDxfId="64"/>
    <tableColumn id="9" xr3:uid="{982F80C4-1BA3-4FE1-9D4A-DDE8322BB335}" name="Aviation Security Awareness" dataDxfId="63"/>
    <tableColumn id="10" xr3:uid="{87FD6A36-AC56-4028-851E-11A054BAB18F}" name="Aviation Security Awareness4" dataDxfId="62">
      <calculatedColumnFormula>IF(ISBLANK(K4),"",EDATE(K4,24))</calculatedColumnFormula>
    </tableColumn>
    <tableColumn id="11" xr3:uid="{9B5114D4-0B14-4792-9F07-D3F324C5A2F8}" name="Dangerous Goods Awareness" dataDxfId="61"/>
    <tableColumn id="12" xr3:uid="{D0952931-97B1-4B10-9060-75EFBB1B7186}" name="Dangerous Goods Awareness5" dataDxfId="60">
      <calculatedColumnFormula>IF(ISBLANK(M4),"",EDATE(M4,24))</calculatedColumnFormula>
    </tableColumn>
    <tableColumn id="19" xr3:uid="{9AD1777A-3671-4BA8-8B2D-455F36F51916}" name="Company Policy, Procedures (MOE&amp;TPM) and 145 CAAT Laws and Regulations" dataDxfId="59"/>
    <tableColumn id="20" xr3:uid="{1603FF7F-FE02-45A8-A2C5-95F80FD8A9AE}" name="Company Policy, Procedures (MOE&amp;TPM) and 145 CAAT Laws and Regulations9" dataDxfId="58">
      <calculatedColumnFormula>IF(ISBLANK(O4),"",EDATE(O4,24))</calculatedColumnFormula>
    </tableColumn>
    <tableColumn id="21" xr3:uid="{50D61287-0F59-48C3-BCBE-6F3ACC325BF0}" name="Fuel Tank Safety (Phase 1&amp;2)" dataDxfId="57"/>
    <tableColumn id="22" xr3:uid="{724E7653-D859-41DF-8308-F4B5011B11A0}" name="Fuel Tank Safety (Phase 1&amp;2)10" dataDxfId="56">
      <calculatedColumnFormula>IF(ISBLANK(Q4),"",EDATE(Q4,24))</calculatedColumnFormula>
    </tableColumn>
    <tableColumn id="23" xr3:uid="{D06B3B7C-4C08-400F-A609-426B2605D7A7}" name="Electrical Wiring Interconnection System" dataDxfId="55"/>
    <tableColumn id="49" xr3:uid="{4BA24A53-C398-4349-AA18-BE3E4B08819E}" name="Electrical Wiring Interconnection System11" dataDxfId="54"/>
    <tableColumn id="53" xr3:uid="{C3D480C5-7AE2-4FE4-8989-A5AB664664C6}" name="Special Operations (RVSM, PBN/RNP, CAT II/III)" dataDxfId="53"/>
    <tableColumn id="55" xr3:uid="{65875F58-8728-44DE-9096-62D0B29383AA}" name="Special Operations (RVSM, PBN/RNP, CAT II/III)19" dataDxfId="52"/>
    <tableColumn id="54" xr3:uid="{9F7D05FF-613E-4A46-86FD-E247EB0AB56B}" name="Special Operations (EDTO/ETOPS)" dataDxfId="51"/>
    <tableColumn id="24" xr3:uid="{1742DA28-B9AF-468F-B12A-7130EB72732B}" name="Special Operations (EDTO/ETOPS)20" dataDxfId="50">
      <calculatedColumnFormula>IF(ISBLANK(S4),"",EDATE(S4,24))</calculatedColumnFormula>
    </tableColumn>
    <tableColumn id="31" xr3:uid="{827DF180-A78B-4B3A-9162-F82940C4DC0C}" name="Aircraft Parts and Material Receiving" dataDxfId="49"/>
    <tableColumn id="41" xr3:uid="{32B0E2FB-E619-4519-B367-80A987E96116}" name="Internal Auditor" dataDxfId="48"/>
    <tableColumn id="42" xr3:uid="{8EA0FC40-5490-444E-9BF3-8C580E5F7FC1}" name="Internal Audit20" dataDxfId="47"/>
    <tableColumn id="43" xr3:uid="{603A91E3-1769-430D-9D8F-9953E728DA83}" name="Lead Auditor" dataDxfId="46"/>
    <tableColumn id="44" xr3:uid="{3062FE36-DF5D-48DD-BD7A-183B48AC2415}" name="Lead Auditor21" dataDxfId="45"/>
    <tableColumn id="45" xr3:uid="{D9B292D1-3677-4A02-93F5-37531364B60C}" name="Train the Trainer" dataDxfId="44"/>
    <tableColumn id="46" xr3:uid="{4A3A3554-4C06-480D-8FCA-CAB7266CD157}" name="Train the Trainer22" dataDxfId="4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FFE1B0-2D86-409B-8F78-4A988A92912B}" name="Table13456" displayName="Table13456" ref="C3:AA15" totalsRowShown="0" headerRowDxfId="27" dataDxfId="26" tableBorderDxfId="25">
  <autoFilter ref="C3:AA15" xr:uid="{CD2573DA-1D43-4E1F-9245-0FB7ACA7A606}"/>
  <sortState xmlns:xlrd2="http://schemas.microsoft.com/office/spreadsheetml/2017/richdata2" ref="C4:AA4">
    <sortCondition ref="C3:C4"/>
  </sortState>
  <tableColumns count="25">
    <tableColumn id="1" xr3:uid="{954BDB04-2B34-4474-A7C1-AF3FF7AF8B75}" name="Staff ID" dataDxfId="24"/>
    <tableColumn id="2" xr3:uid="{6162020B-123D-40AA-9199-FBB0CC735B7F}" name="Name" dataDxfId="23"/>
    <tableColumn id="3" xr3:uid="{3D100B49-F42C-44D5-9FAD-9EA1FEA7519D}" name="Surname" dataDxfId="22"/>
    <tableColumn id="4" xr3:uid="{6335BAAF-6907-4055-A1A3-3CE7C14AA44B}" name="Position" dataDxfId="21"/>
    <tableColumn id="5" xr3:uid="{C526CB3C-C487-4680-A33F-D473D6E0BEF0}" name="Human Factors" dataDxfId="20"/>
    <tableColumn id="6" xr3:uid="{548EAA2E-648F-45B8-AD2B-A2828B19A80E}" name="Human Factors2" dataDxfId="19">
      <calculatedColumnFormula>IF(ISBLANK(G4),"",EDATE(G4,24))</calculatedColumnFormula>
    </tableColumn>
    <tableColumn id="7" xr3:uid="{C584463B-9827-4DF1-88CE-476BB8C3DF8F}" name="Safety Management System" dataDxfId="18"/>
    <tableColumn id="8" xr3:uid="{5671B3BA-4F20-4A02-AA55-A100AD58ACBC}" name="Safety Management System3" dataDxfId="17"/>
    <tableColumn id="9" xr3:uid="{02505BF9-BB0F-424C-AC28-A29B08F2824A}" name="Aviation Security Awareness" dataDxfId="16"/>
    <tableColumn id="10" xr3:uid="{7B2F9CC9-F829-4F3E-B4A0-58D9FC895490}" name="Aviation Security Awareness4" dataDxfId="15">
      <calculatedColumnFormula>IF(ISBLANK(K4),"",EDATE(K4,24))</calculatedColumnFormula>
    </tableColumn>
    <tableColumn id="11" xr3:uid="{2EFED55C-9A2B-4D1B-A7F9-BC4058863E2E}" name="Dangerous Goods Awareness" dataDxfId="14"/>
    <tableColumn id="12" xr3:uid="{1F700FBF-33BD-4A40-B7B8-BF391E22D82C}" name="Dangerous Goods Awareness5" dataDxfId="13">
      <calculatedColumnFormula>IF(ISBLANK(M4),"",EDATE(M4,24))</calculatedColumnFormula>
    </tableColumn>
    <tableColumn id="14" xr3:uid="{6C180719-D8EF-47E7-B389-381F72E7BBB6}" name="Aircraft General Familiarization (B737-600/700/800/900 (CFM56)) and relevant technology" dataDxfId="12"/>
    <tableColumn id="13" xr3:uid="{AB2C0739-7135-40E2-9220-C64E94D6FE7D}" name="Aircraft General Familiarization (B737-600/700/800/900 (CFM56)) and relevant technology6" dataDxfId="11">
      <calculatedColumnFormula>IF(ISBLANK(O4),"",EDATE(O4,24))</calculatedColumnFormula>
    </tableColumn>
    <tableColumn id="19" xr3:uid="{9477ED69-76E5-47BA-B10F-7C4E49B4CFF6}" name="Company Policy, Procedures (MOE&amp;TPM) and 145 CAAT Laws and Regulations" dataDxfId="10"/>
    <tableColumn id="20" xr3:uid="{32132C6B-3C33-4B3B-95C7-B96DE2FE1C92}" name="Company Policy, Procedures (MOE&amp;TPM) and 145 CAAT Laws and Regulations9" dataDxfId="9">
      <calculatedColumnFormula>IF(ISBLANK(Q4),"",EDATE(Q4,24))</calculatedColumnFormula>
    </tableColumn>
    <tableColumn id="21" xr3:uid="{08933362-0931-4CA7-9F3C-0270619BF8E0}" name="Fuel Tank Safety (Phase 1&amp;2)" dataDxfId="8"/>
    <tableColumn id="22" xr3:uid="{64FE6C81-C6EB-4D39-8016-229A9A49A9B0}" name="Fuel Tank Safety (Phase 1&amp;2)10" dataDxfId="7">
      <calculatedColumnFormula>IF(ISBLANK(S4),"",EDATE(S4,24))</calculatedColumnFormula>
    </tableColumn>
    <tableColumn id="23" xr3:uid="{FC7A19F7-8F20-4A8B-9ABF-AD91B9757498}" name="Electrical Wiring Interconnection System" dataDxfId="6"/>
    <tableColumn id="49" xr3:uid="{40752959-B3BB-46F8-A87E-BF622CDF5DAB}" name="Electrical Wiring Interconnection System11" dataDxfId="5"/>
    <tableColumn id="53" xr3:uid="{C32805EC-C54B-4CBD-91C5-4AA5DB606328}" name="Special Operations (RVSM, PBN/RNP, CAT II/III)" dataDxfId="4"/>
    <tableColumn id="55" xr3:uid="{24DE1F2D-150B-4B3A-9B4E-195451E9A2CA}" name="Special Operations (RVSM, PBN/RNP, CAT II/III)19" dataDxfId="3"/>
    <tableColumn id="54" xr3:uid="{885C5E23-BDDA-413E-8C27-3920E6436378}" name="Special Operations (EDTO/ETOPS)" dataDxfId="2"/>
    <tableColumn id="24" xr3:uid="{14F043DD-3086-496B-A2DF-F6F7F1BF6906}" name="Special Operations (EDTO/ETOPS)20" dataDxfId="1">
      <calculatedColumnFormula>IF(ISBLANK(U4),"",EDATE(U4,24))</calculatedColumnFormula>
    </tableColumn>
    <tableColumn id="46" xr3:uid="{BDC0DE0D-C0E1-4E10-AFA3-E63C509C7E13}" name="Train the Trainer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3" dT="2025-03-20T07:10:11.19" personId="{33097EBE-4D6C-41C3-BBA0-9B15E619B3A7}" id="{C1FF5492-4BDF-4102-A7CF-B0A2808E361C}">
    <text>SpiceJet CAT II, CAT III : Recurrent Annually 
(Ref. B737-8/9 CAT II/III Manual))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M3" dT="2025-03-20T07:10:11.19" personId="{33097EBE-4D6C-41C3-BBA0-9B15E619B3A7}" id="{0CA57EBF-0E26-4320-8357-3D2E4219642B}">
    <text>SpiceJet CAT II, CAT III : Recurrent Annually 
(Ref. B737-8/9 CAT II/III Manual))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microsoft.com/office/2019/04/relationships/namedSheetView" Target="../namedSheetViews/namedSheetView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microsoft.com/office/2019/04/relationships/namedSheetView" Target="../namedSheetViews/namedSheetView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DF63-1167-490E-8169-366F10A26C57}">
  <dimension ref="B1:R33"/>
  <sheetViews>
    <sheetView zoomScale="90" zoomScaleNormal="90" workbookViewId="0">
      <selection activeCell="L29" sqref="L29:R33"/>
    </sheetView>
  </sheetViews>
  <sheetFormatPr defaultRowHeight="18.600000000000001"/>
  <cols>
    <col min="2" max="2" width="5.125" style="60" customWidth="1"/>
    <col min="3" max="3" width="40" style="60" customWidth="1"/>
    <col min="4" max="4" width="14.25" style="60" customWidth="1"/>
    <col min="5" max="5" width="10.25" style="60" customWidth="1"/>
    <col min="6" max="6" width="7.75" style="60" customWidth="1"/>
    <col min="7" max="7" width="19" style="60" customWidth="1"/>
    <col min="8" max="8" width="25.75" style="60" customWidth="1"/>
    <col min="12" max="12" width="5.75" style="68" customWidth="1"/>
    <col min="13" max="13" width="32.75" customWidth="1"/>
    <col min="14" max="14" width="19.75" customWidth="1"/>
    <col min="15" max="15" width="35.75" customWidth="1"/>
    <col min="16" max="16" width="10.75" customWidth="1"/>
    <col min="17" max="17" width="21" customWidth="1"/>
    <col min="18" max="18" width="17.75" customWidth="1"/>
  </cols>
  <sheetData>
    <row r="1" spans="2:11">
      <c r="E1" s="61"/>
    </row>
    <row r="2" spans="2:11">
      <c r="B2" s="517" t="s">
        <v>0</v>
      </c>
      <c r="C2" s="518"/>
      <c r="D2" s="518"/>
      <c r="E2" s="518"/>
      <c r="F2" s="518"/>
      <c r="G2" s="518"/>
      <c r="H2" s="518"/>
    </row>
    <row r="3" spans="2:11" ht="52.15">
      <c r="B3" s="63" t="s">
        <v>1</v>
      </c>
      <c r="C3" s="63" t="s">
        <v>2</v>
      </c>
      <c r="D3" s="63" t="s">
        <v>3</v>
      </c>
      <c r="E3" s="63" t="s">
        <v>4</v>
      </c>
      <c r="F3" s="63" t="s">
        <v>5</v>
      </c>
      <c r="G3" s="63" t="s">
        <v>6</v>
      </c>
      <c r="H3" s="63" t="s">
        <v>7</v>
      </c>
    </row>
    <row r="4" spans="2:11" ht="37.15">
      <c r="B4" s="54">
        <v>1</v>
      </c>
      <c r="C4" s="523" t="s">
        <v>8</v>
      </c>
      <c r="D4" s="523" t="s">
        <v>9</v>
      </c>
      <c r="E4" s="56">
        <v>32300</v>
      </c>
      <c r="F4" s="54" t="s">
        <v>10</v>
      </c>
      <c r="G4" s="54" t="s">
        <v>11</v>
      </c>
      <c r="H4" s="525" t="s">
        <v>12</v>
      </c>
    </row>
    <row r="5" spans="2:11" ht="37.15">
      <c r="B5" s="54">
        <v>2</v>
      </c>
      <c r="C5" s="524"/>
      <c r="D5" s="524"/>
      <c r="E5" s="56">
        <v>32300</v>
      </c>
      <c r="F5" s="54" t="s">
        <v>13</v>
      </c>
      <c r="G5" s="54" t="s">
        <v>14</v>
      </c>
      <c r="H5" s="525"/>
      <c r="K5">
        <v>161500</v>
      </c>
    </row>
    <row r="6" spans="2:11" ht="37.15">
      <c r="B6" s="54">
        <v>3</v>
      </c>
      <c r="C6" s="523" t="s">
        <v>15</v>
      </c>
      <c r="D6" s="523" t="s">
        <v>16</v>
      </c>
      <c r="E6" s="56" t="s">
        <v>17</v>
      </c>
      <c r="F6" s="54" t="s">
        <v>13</v>
      </c>
      <c r="G6" s="54" t="s">
        <v>18</v>
      </c>
      <c r="H6" s="525" t="s">
        <v>12</v>
      </c>
      <c r="K6">
        <v>500000</v>
      </c>
    </row>
    <row r="7" spans="2:11" ht="37.15">
      <c r="B7" s="54">
        <v>4</v>
      </c>
      <c r="C7" s="524"/>
      <c r="D7" s="524"/>
      <c r="E7" s="56" t="s">
        <v>17</v>
      </c>
      <c r="F7" s="54" t="s">
        <v>13</v>
      </c>
      <c r="G7" s="54" t="s">
        <v>19</v>
      </c>
      <c r="H7" s="525"/>
      <c r="K7">
        <v>15464</v>
      </c>
    </row>
    <row r="8" spans="2:11" ht="37.15">
      <c r="B8" s="54">
        <v>5</v>
      </c>
      <c r="C8" s="54" t="s">
        <v>20</v>
      </c>
      <c r="D8" s="55" t="s">
        <v>16</v>
      </c>
      <c r="E8" s="56" t="s">
        <v>17</v>
      </c>
      <c r="F8" s="54" t="s">
        <v>21</v>
      </c>
      <c r="G8" s="54" t="s">
        <v>22</v>
      </c>
      <c r="H8" s="54"/>
      <c r="K8">
        <f>K6+K7+K5</f>
        <v>676964</v>
      </c>
    </row>
    <row r="9" spans="2:11" ht="74.45">
      <c r="B9" s="54">
        <v>6</v>
      </c>
      <c r="C9" s="62" t="s">
        <v>23</v>
      </c>
      <c r="D9" s="54" t="s">
        <v>24</v>
      </c>
      <c r="E9" s="56">
        <v>500000</v>
      </c>
      <c r="F9" s="54" t="s">
        <v>25</v>
      </c>
      <c r="G9" s="54" t="s">
        <v>26</v>
      </c>
      <c r="H9" s="54" t="s">
        <v>27</v>
      </c>
      <c r="K9">
        <v>676964</v>
      </c>
    </row>
    <row r="10" spans="2:11" ht="55.9">
      <c r="B10" s="54">
        <v>7</v>
      </c>
      <c r="C10" s="54" t="s">
        <v>28</v>
      </c>
      <c r="D10" s="54" t="s">
        <v>16</v>
      </c>
      <c r="E10" s="56" t="s">
        <v>29</v>
      </c>
      <c r="F10" s="54" t="s">
        <v>21</v>
      </c>
      <c r="G10" s="58">
        <v>45242</v>
      </c>
      <c r="H10" s="54" t="s">
        <v>30</v>
      </c>
    </row>
    <row r="11" spans="2:11" ht="17.45">
      <c r="B11" s="519" t="s">
        <v>31</v>
      </c>
      <c r="C11" s="520"/>
      <c r="D11" s="521"/>
      <c r="E11" s="522">
        <v>676964</v>
      </c>
      <c r="F11" s="522"/>
      <c r="G11" s="522"/>
      <c r="H11" s="522"/>
    </row>
    <row r="12" spans="2:11" ht="17.45">
      <c r="B12" s="64"/>
      <c r="C12" s="64"/>
      <c r="D12" s="64"/>
      <c r="E12" s="65"/>
      <c r="F12" s="65"/>
      <c r="G12" s="65"/>
      <c r="H12" s="65"/>
    </row>
    <row r="13" spans="2:11" ht="17.45">
      <c r="B13" s="526" t="s">
        <v>32</v>
      </c>
      <c r="C13" s="527"/>
      <c r="D13" s="527"/>
      <c r="E13" s="527"/>
      <c r="F13" s="527"/>
      <c r="G13" s="527"/>
      <c r="H13" s="528"/>
    </row>
    <row r="14" spans="2:11" ht="52.15">
      <c r="B14" s="63" t="s">
        <v>1</v>
      </c>
      <c r="C14" s="63" t="s">
        <v>2</v>
      </c>
      <c r="D14" s="63" t="s">
        <v>3</v>
      </c>
      <c r="E14" s="63" t="s">
        <v>4</v>
      </c>
      <c r="F14" s="63" t="s">
        <v>5</v>
      </c>
      <c r="G14" s="63" t="s">
        <v>6</v>
      </c>
      <c r="H14" s="63" t="s">
        <v>7</v>
      </c>
    </row>
    <row r="15" spans="2:11" ht="37.15">
      <c r="B15" s="54">
        <v>8</v>
      </c>
      <c r="C15" s="54" t="s">
        <v>33</v>
      </c>
      <c r="D15" s="54" t="s">
        <v>34</v>
      </c>
      <c r="E15" s="56">
        <v>12800</v>
      </c>
      <c r="F15" s="54" t="s">
        <v>13</v>
      </c>
      <c r="G15" s="54" t="s">
        <v>35</v>
      </c>
      <c r="H15" s="54"/>
    </row>
    <row r="16" spans="2:11" ht="37.15">
      <c r="B16" s="54">
        <v>9</v>
      </c>
      <c r="C16" s="54" t="s">
        <v>36</v>
      </c>
      <c r="D16" s="54" t="s">
        <v>34</v>
      </c>
      <c r="E16" s="56">
        <v>6400</v>
      </c>
      <c r="F16" s="54" t="s">
        <v>21</v>
      </c>
      <c r="G16" s="54" t="s">
        <v>37</v>
      </c>
      <c r="H16" s="54"/>
    </row>
    <row r="17" spans="2:18" ht="55.9">
      <c r="B17" s="54">
        <v>10</v>
      </c>
      <c r="C17" s="54" t="s">
        <v>38</v>
      </c>
      <c r="D17" s="54" t="s">
        <v>39</v>
      </c>
      <c r="E17" s="56">
        <v>6400</v>
      </c>
      <c r="F17" s="54" t="s">
        <v>21</v>
      </c>
      <c r="G17" s="66">
        <v>45260</v>
      </c>
      <c r="H17" s="54"/>
    </row>
    <row r="18" spans="2:18" ht="24" customHeight="1">
      <c r="B18" s="525">
        <v>11</v>
      </c>
      <c r="C18" s="525" t="s">
        <v>40</v>
      </c>
      <c r="D18" s="523" t="s">
        <v>39</v>
      </c>
      <c r="E18" s="56">
        <v>3200</v>
      </c>
      <c r="F18" s="523" t="s">
        <v>41</v>
      </c>
      <c r="G18" s="66">
        <v>45251</v>
      </c>
      <c r="H18" s="525" t="s">
        <v>42</v>
      </c>
      <c r="K18" s="53">
        <f>SUM(E15:E22)</f>
        <v>48000</v>
      </c>
    </row>
    <row r="19" spans="2:18" ht="24" customHeight="1">
      <c r="B19" s="525"/>
      <c r="C19" s="525"/>
      <c r="D19" s="524"/>
      <c r="E19" s="56">
        <v>3200</v>
      </c>
      <c r="F19" s="524"/>
      <c r="G19" s="66">
        <v>45257</v>
      </c>
      <c r="H19" s="525"/>
    </row>
    <row r="20" spans="2:18" ht="55.9">
      <c r="B20" s="54">
        <v>12</v>
      </c>
      <c r="C20" s="54" t="s">
        <v>43</v>
      </c>
      <c r="D20" s="54" t="s">
        <v>39</v>
      </c>
      <c r="E20" s="56">
        <v>3200</v>
      </c>
      <c r="F20" s="54" t="s">
        <v>44</v>
      </c>
      <c r="G20" s="66">
        <v>45258</v>
      </c>
      <c r="H20" s="54" t="s">
        <v>45</v>
      </c>
    </row>
    <row r="21" spans="2:18" ht="37.15">
      <c r="B21" s="54">
        <v>13</v>
      </c>
      <c r="C21" s="54" t="s">
        <v>46</v>
      </c>
      <c r="D21" s="54" t="s">
        <v>34</v>
      </c>
      <c r="E21" s="56">
        <v>6400</v>
      </c>
      <c r="F21" s="54" t="s">
        <v>21</v>
      </c>
      <c r="G21" s="54" t="s">
        <v>37</v>
      </c>
      <c r="H21" s="54"/>
    </row>
    <row r="22" spans="2:18" ht="37.15">
      <c r="B22" s="59">
        <v>14</v>
      </c>
      <c r="C22" s="59" t="s">
        <v>47</v>
      </c>
      <c r="D22" s="54" t="s">
        <v>48</v>
      </c>
      <c r="E22" s="56">
        <v>6400</v>
      </c>
      <c r="F22" s="54" t="s">
        <v>21</v>
      </c>
      <c r="G22" s="67">
        <v>45246</v>
      </c>
      <c r="H22" s="59"/>
      <c r="L22" s="68" t="s">
        <v>49</v>
      </c>
      <c r="M22" s="42" t="s">
        <v>50</v>
      </c>
      <c r="N22" s="42" t="s">
        <v>51</v>
      </c>
      <c r="O22" s="42" t="s">
        <v>52</v>
      </c>
      <c r="P22" s="42" t="s">
        <v>53</v>
      </c>
      <c r="Q22" s="42" t="s">
        <v>54</v>
      </c>
      <c r="R22" s="42" t="s">
        <v>55</v>
      </c>
    </row>
    <row r="23" spans="2:18" ht="17.45">
      <c r="B23" s="519" t="s">
        <v>31</v>
      </c>
      <c r="C23" s="520"/>
      <c r="D23" s="521"/>
      <c r="E23" s="522">
        <v>48000</v>
      </c>
      <c r="F23" s="522"/>
      <c r="G23" s="522"/>
      <c r="H23" s="522"/>
      <c r="L23" s="68">
        <v>1</v>
      </c>
      <c r="M23" s="42" t="s">
        <v>56</v>
      </c>
      <c r="N23" s="42" t="s">
        <v>57</v>
      </c>
      <c r="O23" s="42" t="s">
        <v>58</v>
      </c>
      <c r="P23" s="42">
        <v>2</v>
      </c>
      <c r="Q23" s="42" t="s">
        <v>59</v>
      </c>
      <c r="R23" s="42" t="s">
        <v>60</v>
      </c>
    </row>
    <row r="24" spans="2:18">
      <c r="L24" s="68">
        <v>2</v>
      </c>
      <c r="M24" s="42" t="s">
        <v>61</v>
      </c>
      <c r="N24" s="42" t="s">
        <v>62</v>
      </c>
      <c r="O24" s="42" t="s">
        <v>58</v>
      </c>
      <c r="P24" s="42">
        <v>3</v>
      </c>
      <c r="Q24" s="42" t="s">
        <v>63</v>
      </c>
      <c r="R24" s="42"/>
    </row>
    <row r="25" spans="2:18" ht="17.45">
      <c r="B25" s="526" t="s">
        <v>64</v>
      </c>
      <c r="C25" s="527"/>
      <c r="D25" s="527"/>
      <c r="E25" s="527"/>
      <c r="F25" s="527"/>
      <c r="G25" s="527"/>
      <c r="H25" s="528"/>
      <c r="L25" s="68">
        <v>3</v>
      </c>
      <c r="M25" s="42" t="s">
        <v>65</v>
      </c>
      <c r="N25" s="42" t="s">
        <v>66</v>
      </c>
      <c r="O25" s="42" t="s">
        <v>67</v>
      </c>
      <c r="P25" s="42">
        <v>3</v>
      </c>
      <c r="Q25" s="42" t="s">
        <v>68</v>
      </c>
      <c r="R25" s="69" t="s">
        <v>69</v>
      </c>
    </row>
    <row r="26" spans="2:18" ht="52.15">
      <c r="B26" s="63" t="s">
        <v>1</v>
      </c>
      <c r="C26" s="63" t="s">
        <v>2</v>
      </c>
      <c r="D26" s="63" t="s">
        <v>3</v>
      </c>
      <c r="E26" s="63" t="s">
        <v>4</v>
      </c>
      <c r="F26" s="63" t="s">
        <v>5</v>
      </c>
      <c r="G26" s="63" t="s">
        <v>6</v>
      </c>
      <c r="H26" s="63" t="s">
        <v>7</v>
      </c>
      <c r="L26" s="68">
        <v>4</v>
      </c>
      <c r="M26" s="42" t="s">
        <v>70</v>
      </c>
      <c r="N26" s="42" t="s">
        <v>66</v>
      </c>
      <c r="O26" s="42" t="s">
        <v>67</v>
      </c>
      <c r="P26" s="42">
        <v>3</v>
      </c>
      <c r="Q26" s="42" t="s">
        <v>68</v>
      </c>
      <c r="R26" s="69" t="s">
        <v>69</v>
      </c>
    </row>
    <row r="27" spans="2:18" ht="55.9">
      <c r="B27" s="54">
        <v>1</v>
      </c>
      <c r="C27" s="57" t="s">
        <v>71</v>
      </c>
      <c r="D27" s="54" t="s">
        <v>72</v>
      </c>
      <c r="E27" s="56">
        <v>50000</v>
      </c>
      <c r="F27" s="54" t="s">
        <v>73</v>
      </c>
      <c r="G27" s="54" t="s">
        <v>35</v>
      </c>
      <c r="H27" s="54" t="s">
        <v>74</v>
      </c>
    </row>
    <row r="29" spans="2:18" s="68" customFormat="1">
      <c r="B29" s="60"/>
      <c r="C29" s="60"/>
      <c r="D29" s="60"/>
      <c r="E29" s="60"/>
      <c r="F29" s="60"/>
      <c r="G29" s="60"/>
      <c r="H29" s="60"/>
      <c r="L29" s="70" t="s">
        <v>49</v>
      </c>
      <c r="M29" s="70" t="s">
        <v>50</v>
      </c>
      <c r="N29" s="70" t="s">
        <v>51</v>
      </c>
      <c r="O29" s="70" t="s">
        <v>52</v>
      </c>
      <c r="P29" s="70" t="s">
        <v>53</v>
      </c>
      <c r="Q29" s="70" t="s">
        <v>54</v>
      </c>
      <c r="R29" s="70" t="s">
        <v>55</v>
      </c>
    </row>
    <row r="30" spans="2:18">
      <c r="L30" s="70">
        <v>1</v>
      </c>
      <c r="M30" s="71" t="s">
        <v>56</v>
      </c>
      <c r="N30" s="71" t="s">
        <v>57</v>
      </c>
      <c r="O30" s="71" t="s">
        <v>58</v>
      </c>
      <c r="P30" s="70">
        <v>2</v>
      </c>
      <c r="Q30" s="71" t="s">
        <v>59</v>
      </c>
      <c r="R30" s="71" t="s">
        <v>60</v>
      </c>
    </row>
    <row r="31" spans="2:18">
      <c r="L31" s="70">
        <v>2</v>
      </c>
      <c r="M31" s="71" t="s">
        <v>61</v>
      </c>
      <c r="N31" s="71" t="s">
        <v>62</v>
      </c>
      <c r="O31" s="71" t="s">
        <v>58</v>
      </c>
      <c r="P31" s="70">
        <v>3</v>
      </c>
      <c r="Q31" s="71" t="s">
        <v>63</v>
      </c>
      <c r="R31" s="71" t="s">
        <v>60</v>
      </c>
    </row>
    <row r="32" spans="2:18">
      <c r="L32" s="70">
        <v>3</v>
      </c>
      <c r="M32" s="71" t="s">
        <v>65</v>
      </c>
      <c r="N32" s="71" t="s">
        <v>66</v>
      </c>
      <c r="O32" s="71" t="s">
        <v>67</v>
      </c>
      <c r="P32" s="70">
        <v>3</v>
      </c>
      <c r="Q32" s="71" t="s">
        <v>68</v>
      </c>
      <c r="R32" s="72" t="s">
        <v>69</v>
      </c>
    </row>
    <row r="33" spans="12:18">
      <c r="L33" s="70">
        <v>4</v>
      </c>
      <c r="M33" s="71" t="s">
        <v>70</v>
      </c>
      <c r="N33" s="71" t="s">
        <v>66</v>
      </c>
      <c r="O33" s="71" t="s">
        <v>67</v>
      </c>
      <c r="P33" s="70">
        <v>3</v>
      </c>
      <c r="Q33" s="71" t="s">
        <v>68</v>
      </c>
      <c r="R33" s="72" t="s">
        <v>69</v>
      </c>
    </row>
  </sheetData>
  <mergeCells count="18">
    <mergeCell ref="B25:H25"/>
    <mergeCell ref="B23:D23"/>
    <mergeCell ref="E23:H23"/>
    <mergeCell ref="F18:F19"/>
    <mergeCell ref="B13:H13"/>
    <mergeCell ref="B18:B19"/>
    <mergeCell ref="C18:C19"/>
    <mergeCell ref="D18:D19"/>
    <mergeCell ref="H18:H19"/>
    <mergeCell ref="B2:H2"/>
    <mergeCell ref="B11:D11"/>
    <mergeCell ref="E11:H11"/>
    <mergeCell ref="C4:C5"/>
    <mergeCell ref="D4:D5"/>
    <mergeCell ref="H4:H5"/>
    <mergeCell ref="C6:C7"/>
    <mergeCell ref="D6:D7"/>
    <mergeCell ref="H6:H7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DFE7-D68C-4C9F-A3B3-E65DFCC19781}">
  <dimension ref="B1:H32"/>
  <sheetViews>
    <sheetView workbookViewId="0">
      <selection activeCell="I11" sqref="I11"/>
    </sheetView>
  </sheetViews>
  <sheetFormatPr defaultColWidth="8.875" defaultRowHeight="13.9"/>
  <cols>
    <col min="1" max="2" width="8.875" style="458"/>
    <col min="3" max="3" width="8.875" style="507"/>
    <col min="4" max="4" width="20.875" style="507" customWidth="1"/>
    <col min="5" max="5" width="23.125" style="507" customWidth="1"/>
    <col min="6" max="16384" width="8.875" style="458"/>
  </cols>
  <sheetData>
    <row r="1" spans="2:8">
      <c r="B1" s="458">
        <v>1</v>
      </c>
      <c r="C1" s="508" t="s">
        <v>75</v>
      </c>
      <c r="D1" s="509" t="s">
        <v>76</v>
      </c>
      <c r="E1" s="511">
        <v>46197</v>
      </c>
    </row>
    <row r="2" spans="2:8">
      <c r="B2" s="458">
        <v>2</v>
      </c>
      <c r="C2" s="464" t="s">
        <v>77</v>
      </c>
      <c r="D2" s="377" t="s">
        <v>78</v>
      </c>
      <c r="E2" s="91">
        <v>46112</v>
      </c>
    </row>
    <row r="3" spans="2:8">
      <c r="B3" s="458">
        <v>3</v>
      </c>
      <c r="C3" s="508" t="s">
        <v>79</v>
      </c>
      <c r="D3" s="509" t="s">
        <v>80</v>
      </c>
      <c r="E3" s="511">
        <v>46112</v>
      </c>
    </row>
    <row r="4" spans="2:8">
      <c r="B4" s="458">
        <v>4</v>
      </c>
      <c r="C4" s="464" t="s">
        <v>81</v>
      </c>
      <c r="D4" s="377" t="s">
        <v>82</v>
      </c>
      <c r="E4" s="91">
        <v>46112</v>
      </c>
    </row>
    <row r="5" spans="2:8">
      <c r="B5" s="458">
        <v>5</v>
      </c>
      <c r="C5" s="508" t="s">
        <v>83</v>
      </c>
      <c r="D5" s="509" t="s">
        <v>84</v>
      </c>
      <c r="E5" s="511">
        <v>46112</v>
      </c>
    </row>
    <row r="6" spans="2:8">
      <c r="B6" s="458">
        <v>6</v>
      </c>
      <c r="C6" s="464" t="s">
        <v>85</v>
      </c>
      <c r="D6" s="377" t="s">
        <v>86</v>
      </c>
      <c r="E6" s="91">
        <v>46112</v>
      </c>
    </row>
    <row r="7" spans="2:8">
      <c r="B7" s="458">
        <v>7</v>
      </c>
      <c r="C7" s="508"/>
      <c r="D7" s="509"/>
      <c r="E7" s="511"/>
      <c r="H7" s="458">
        <v>19</v>
      </c>
    </row>
    <row r="8" spans="2:8">
      <c r="B8" s="458">
        <v>8</v>
      </c>
      <c r="C8" s="464" t="s">
        <v>87</v>
      </c>
      <c r="D8" s="377" t="s">
        <v>88</v>
      </c>
      <c r="E8" s="91">
        <v>46112</v>
      </c>
      <c r="G8" s="458" t="s">
        <v>89</v>
      </c>
      <c r="H8" s="458">
        <v>3</v>
      </c>
    </row>
    <row r="9" spans="2:8">
      <c r="B9" s="458">
        <v>9</v>
      </c>
      <c r="C9" s="508" t="s">
        <v>90</v>
      </c>
      <c r="D9" s="509" t="s">
        <v>91</v>
      </c>
      <c r="E9" s="511">
        <v>46112</v>
      </c>
      <c r="G9" s="458" t="s">
        <v>92</v>
      </c>
      <c r="H9" s="458">
        <v>1</v>
      </c>
    </row>
    <row r="10" spans="2:8">
      <c r="B10" s="458">
        <v>10</v>
      </c>
      <c r="C10" s="464" t="s">
        <v>93</v>
      </c>
      <c r="D10" s="377" t="s">
        <v>94</v>
      </c>
      <c r="E10" s="91">
        <v>46112</v>
      </c>
      <c r="G10" s="458" t="s">
        <v>95</v>
      </c>
      <c r="H10" s="458">
        <v>1</v>
      </c>
    </row>
    <row r="11" spans="2:8">
      <c r="B11" s="458">
        <v>11</v>
      </c>
      <c r="C11" s="508" t="s">
        <v>96</v>
      </c>
      <c r="D11" s="509" t="s">
        <v>97</v>
      </c>
      <c r="E11" s="511">
        <v>46149</v>
      </c>
      <c r="G11" s="458" t="s">
        <v>98</v>
      </c>
      <c r="H11" s="458">
        <v>2</v>
      </c>
    </row>
    <row r="12" spans="2:8">
      <c r="B12" s="458">
        <v>12</v>
      </c>
      <c r="C12" s="464" t="s">
        <v>99</v>
      </c>
      <c r="D12" s="377" t="s">
        <v>100</v>
      </c>
      <c r="E12" s="91">
        <v>46149</v>
      </c>
      <c r="G12" s="458" t="s">
        <v>101</v>
      </c>
      <c r="H12" s="458">
        <v>7</v>
      </c>
    </row>
    <row r="13" spans="2:8">
      <c r="B13" s="458">
        <v>13</v>
      </c>
      <c r="C13" s="508" t="s">
        <v>102</v>
      </c>
      <c r="D13" s="509" t="s">
        <v>103</v>
      </c>
      <c r="E13" s="511">
        <v>46149</v>
      </c>
      <c r="H13" s="458">
        <f>SUM(H7:H12)</f>
        <v>33</v>
      </c>
    </row>
    <row r="14" spans="2:8">
      <c r="B14" s="458">
        <v>14</v>
      </c>
      <c r="C14" s="464" t="s">
        <v>104</v>
      </c>
      <c r="D14" s="377" t="s">
        <v>105</v>
      </c>
      <c r="E14" s="91">
        <v>46149</v>
      </c>
    </row>
    <row r="15" spans="2:8">
      <c r="B15" s="458">
        <v>15</v>
      </c>
      <c r="C15" s="508" t="s">
        <v>106</v>
      </c>
      <c r="D15" s="509" t="s">
        <v>107</v>
      </c>
      <c r="E15" s="511">
        <v>46112</v>
      </c>
    </row>
    <row r="16" spans="2:8">
      <c r="B16" s="458">
        <v>16</v>
      </c>
      <c r="C16" s="464" t="s">
        <v>108</v>
      </c>
      <c r="D16" s="377" t="s">
        <v>109</v>
      </c>
      <c r="E16" s="91">
        <v>46112</v>
      </c>
    </row>
    <row r="17" spans="2:5">
      <c r="B17" s="458">
        <v>17</v>
      </c>
      <c r="C17" s="508" t="s">
        <v>110</v>
      </c>
      <c r="D17" s="509" t="s">
        <v>111</v>
      </c>
      <c r="E17" s="511">
        <v>46149</v>
      </c>
    </row>
    <row r="18" spans="2:5">
      <c r="B18" s="458">
        <v>18</v>
      </c>
      <c r="C18" s="463" t="s">
        <v>112</v>
      </c>
      <c r="D18" s="377" t="s">
        <v>113</v>
      </c>
      <c r="E18" s="91">
        <v>46149</v>
      </c>
    </row>
    <row r="19" spans="2:5">
      <c r="B19" s="458">
        <v>19</v>
      </c>
      <c r="C19" s="510" t="s">
        <v>114</v>
      </c>
      <c r="D19" s="509" t="s">
        <v>115</v>
      </c>
      <c r="E19" s="511">
        <v>46149</v>
      </c>
    </row>
    <row r="20" spans="2:5">
      <c r="B20" s="458">
        <v>20</v>
      </c>
      <c r="C20" s="465" t="s">
        <v>116</v>
      </c>
      <c r="D20" s="385" t="s">
        <v>117</v>
      </c>
      <c r="E20" s="512">
        <v>46305</v>
      </c>
    </row>
    <row r="21" spans="2:5" ht="15">
      <c r="B21" s="458">
        <v>21</v>
      </c>
      <c r="C21" s="494"/>
      <c r="D21" s="495"/>
      <c r="E21" s="496"/>
    </row>
    <row r="22" spans="2:5" ht="15">
      <c r="B22" s="458">
        <v>22</v>
      </c>
      <c r="C22" s="497"/>
      <c r="D22" s="498"/>
      <c r="E22" s="499"/>
    </row>
    <row r="23" spans="2:5" ht="15">
      <c r="B23" s="458">
        <v>23</v>
      </c>
      <c r="C23" s="494"/>
      <c r="D23" s="495"/>
      <c r="E23" s="496"/>
    </row>
    <row r="24" spans="2:5" ht="15">
      <c r="B24" s="458">
        <v>24</v>
      </c>
      <c r="C24" s="497"/>
      <c r="D24" s="498"/>
      <c r="E24" s="499"/>
    </row>
    <row r="25" spans="2:5" ht="15">
      <c r="B25" s="458">
        <v>25</v>
      </c>
      <c r="C25" s="494"/>
      <c r="D25" s="495"/>
      <c r="E25" s="496"/>
    </row>
    <row r="26" spans="2:5" ht="15">
      <c r="B26" s="458">
        <v>26</v>
      </c>
      <c r="C26" s="500"/>
      <c r="D26" s="498"/>
      <c r="E26" s="499"/>
    </row>
    <row r="27" spans="2:5" ht="15">
      <c r="B27" s="458">
        <v>27</v>
      </c>
      <c r="C27" s="501"/>
      <c r="D27" s="495"/>
      <c r="E27" s="496"/>
    </row>
    <row r="28" spans="2:5" ht="15">
      <c r="B28" s="458">
        <v>28</v>
      </c>
      <c r="C28" s="500"/>
      <c r="D28" s="498"/>
      <c r="E28" s="499"/>
    </row>
    <row r="29" spans="2:5" ht="15">
      <c r="B29" s="458">
        <v>29</v>
      </c>
      <c r="C29" s="502"/>
      <c r="D29" s="503"/>
      <c r="E29" s="496"/>
    </row>
    <row r="30" spans="2:5" ht="15">
      <c r="B30" s="458">
        <v>30</v>
      </c>
      <c r="C30" s="504"/>
      <c r="D30" s="505"/>
      <c r="E30" s="499"/>
    </row>
    <row r="31" spans="2:5" ht="15">
      <c r="B31" s="458">
        <v>31</v>
      </c>
      <c r="C31" s="502"/>
      <c r="D31" s="503"/>
      <c r="E31" s="496"/>
    </row>
    <row r="32" spans="2:5" ht="15">
      <c r="B32" s="458">
        <v>32</v>
      </c>
      <c r="C32" s="504"/>
      <c r="D32" s="505"/>
      <c r="E32" s="506"/>
    </row>
  </sheetData>
  <conditionalFormatting sqref="E1:E32">
    <cfRule type="expression" dxfId="775" priority="1" stopIfTrue="1">
      <formula>AND(ISODD(COLUMN(E1)), E1&lt;&gt;"", E1-TODAY() &lt;= 90)</formula>
    </cfRule>
    <cfRule type="expression" dxfId="774" priority="2">
      <formula>AND(ISODD(COLUMN(E1)), YEAR(E1)=YEAR(TODAY()), E1-TODAY()&gt;90, E1-TODAY()&lt;=365)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5C7D-F821-4690-9EAD-F021C1211AAC}">
  <sheetPr>
    <tabColor rgb="FF92D050"/>
    <pageSetUpPr fitToPage="1"/>
  </sheetPr>
  <dimension ref="A1:CZ149"/>
  <sheetViews>
    <sheetView showGridLines="0" zoomScale="63" zoomScaleNormal="63" workbookViewId="0">
      <pane xSplit="4" ySplit="4" topLeftCell="E10" activePane="bottomRight" state="frozen"/>
      <selection pane="bottomRight" activeCell="J14" sqref="J14"/>
      <selection pane="bottomLeft" activeCell="B5" sqref="B5"/>
      <selection pane="topRight"/>
    </sheetView>
  </sheetViews>
  <sheetFormatPr defaultColWidth="9.125" defaultRowHeight="15" customHeight="1"/>
  <cols>
    <col min="1" max="1" width="5.75" hidden="1" customWidth="1"/>
    <col min="2" max="2" width="11" customWidth="1"/>
    <col min="3" max="3" width="16.75" customWidth="1"/>
    <col min="4" max="4" width="25.75" customWidth="1"/>
    <col min="5" max="5" width="34.75" customWidth="1"/>
    <col min="6" max="6" width="39.75" customWidth="1"/>
    <col min="7" max="7" width="40.25" style="42" customWidth="1"/>
    <col min="8" max="8" width="13.75" style="124" customWidth="1"/>
    <col min="9" max="9" width="12" customWidth="1"/>
    <col min="10" max="13" width="11.75" style="124" customWidth="1"/>
    <col min="14" max="14" width="13.25" customWidth="1"/>
    <col min="15" max="15" width="12.25" customWidth="1"/>
    <col min="16" max="16" width="13.75" customWidth="1"/>
    <col min="17" max="17" width="12.75" customWidth="1"/>
    <col min="18" max="18" width="13.25" customWidth="1"/>
    <col min="19" max="19" width="13.75" customWidth="1"/>
    <col min="20" max="21" width="13.25" customWidth="1"/>
    <col min="22" max="23" width="12.75" customWidth="1"/>
    <col min="24" max="31" width="13.25" customWidth="1"/>
    <col min="32" max="32" width="12.875" style="126" customWidth="1"/>
    <col min="33" max="33" width="11.75" style="126" customWidth="1"/>
    <col min="34" max="44" width="11.75" customWidth="1"/>
    <col min="45" max="45" width="12.125" customWidth="1"/>
    <col min="46" max="55" width="11.75" customWidth="1"/>
    <col min="56" max="64" width="11.25" customWidth="1"/>
    <col min="65" max="69" width="11.75" customWidth="1"/>
    <col min="70" max="70" width="12" customWidth="1"/>
    <col min="71" max="73" width="11.75" customWidth="1"/>
    <col min="74" max="74" width="18.25" customWidth="1"/>
    <col min="75" max="75" width="14.875" customWidth="1"/>
    <col min="76" max="77" width="11.75" customWidth="1"/>
    <col min="78" max="80" width="13.25" customWidth="1"/>
    <col min="81" max="81" width="11.25" customWidth="1"/>
    <col min="82" max="83" width="11.125" customWidth="1"/>
    <col min="84" max="84" width="12.25" customWidth="1"/>
    <col min="85" max="85" width="12.875" customWidth="1"/>
    <col min="86" max="86" width="12.25" customWidth="1"/>
    <col min="87" max="92" width="12" customWidth="1"/>
    <col min="93" max="96" width="11.125" customWidth="1"/>
    <col min="97" max="97" width="11.125" style="126" customWidth="1"/>
    <col min="98" max="100" width="12.875" style="126" customWidth="1"/>
    <col min="101" max="101" width="14.75" style="126" customWidth="1"/>
    <col min="102" max="104" width="12.75" style="68" customWidth="1"/>
    <col min="105" max="105" width="37.25" customWidth="1"/>
  </cols>
  <sheetData>
    <row r="1" spans="1:104" s="332" customFormat="1" ht="27" customHeight="1">
      <c r="A1" s="304"/>
      <c r="B1" s="529" t="s">
        <v>118</v>
      </c>
      <c r="C1" s="529"/>
      <c r="D1" s="529"/>
      <c r="E1" s="529"/>
      <c r="F1" s="77"/>
      <c r="G1" s="304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77"/>
      <c r="BM1" s="77"/>
      <c r="BN1" s="77"/>
      <c r="BO1" s="77"/>
      <c r="BP1" s="77"/>
      <c r="BQ1" s="77"/>
      <c r="BR1" s="77"/>
      <c r="BS1" s="77"/>
      <c r="BT1" s="77"/>
      <c r="CL1" s="340"/>
      <c r="CQ1" s="333"/>
      <c r="CR1" s="333"/>
      <c r="CS1" s="333"/>
      <c r="CT1" s="333"/>
      <c r="CU1" s="333"/>
      <c r="CV1" s="333"/>
      <c r="CW1" s="333"/>
      <c r="CX1" s="340"/>
      <c r="CY1" s="340"/>
      <c r="CZ1" s="340"/>
    </row>
    <row r="2" spans="1:104" s="332" customFormat="1" ht="32.25" customHeight="1">
      <c r="A2" s="341" t="s">
        <v>119</v>
      </c>
      <c r="B2" s="342" t="s">
        <v>119</v>
      </c>
      <c r="C2" s="343">
        <f ca="1">TODAY()</f>
        <v>46091</v>
      </c>
      <c r="G2" s="342"/>
      <c r="H2" s="530" t="s">
        <v>120</v>
      </c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1"/>
      <c r="AT2" s="532" t="s">
        <v>121</v>
      </c>
      <c r="AU2" s="532"/>
      <c r="AV2" s="532"/>
      <c r="AW2" s="532"/>
      <c r="AX2" s="532"/>
      <c r="AY2" s="532"/>
      <c r="AZ2" s="532"/>
      <c r="BA2" s="532"/>
      <c r="BB2" s="532"/>
      <c r="BC2" s="532"/>
      <c r="BD2" s="532"/>
      <c r="BE2" s="532"/>
      <c r="BF2" s="532"/>
      <c r="BG2" s="532"/>
      <c r="BH2" s="532"/>
      <c r="BI2" s="532"/>
      <c r="BJ2" s="532"/>
      <c r="BK2" s="532"/>
      <c r="BL2" s="533" t="s">
        <v>122</v>
      </c>
      <c r="BM2" s="534"/>
      <c r="BN2" s="534"/>
      <c r="BO2" s="534"/>
      <c r="BP2" s="534"/>
      <c r="BQ2" s="534"/>
      <c r="BR2" s="534"/>
      <c r="BS2" s="534"/>
      <c r="BT2" s="534"/>
      <c r="BU2" s="535" t="s">
        <v>123</v>
      </c>
      <c r="BV2" s="536"/>
      <c r="BW2" s="536"/>
      <c r="BX2" s="536"/>
      <c r="BY2" s="536"/>
      <c r="BZ2" s="536"/>
      <c r="CA2" s="536"/>
      <c r="CB2" s="536"/>
      <c r="CC2" s="536"/>
      <c r="CD2" s="536"/>
      <c r="CE2" s="536"/>
      <c r="CF2" s="536"/>
      <c r="CG2" s="536"/>
      <c r="CH2" s="536"/>
      <c r="CI2" s="536"/>
      <c r="CJ2" s="536"/>
      <c r="CK2" s="536"/>
      <c r="CL2" s="536"/>
      <c r="CM2" s="536"/>
      <c r="CN2" s="536"/>
      <c r="CO2" s="536"/>
      <c r="CP2" s="536"/>
      <c r="CQ2" s="536"/>
      <c r="CR2" s="536"/>
      <c r="CS2" s="536"/>
      <c r="CT2" s="536"/>
      <c r="CU2" s="536"/>
      <c r="CV2" s="536"/>
      <c r="CW2" s="536"/>
      <c r="CX2" s="536"/>
      <c r="CY2" s="536"/>
      <c r="CZ2" s="536"/>
    </row>
    <row r="3" spans="1:104" s="333" customFormat="1" ht="228.75" customHeight="1">
      <c r="A3" s="334"/>
      <c r="B3" s="335" t="s">
        <v>1</v>
      </c>
      <c r="C3" s="336" t="s">
        <v>124</v>
      </c>
      <c r="D3" s="337" t="s">
        <v>125</v>
      </c>
      <c r="E3" s="337" t="s">
        <v>126</v>
      </c>
      <c r="F3" s="338" t="s">
        <v>127</v>
      </c>
      <c r="G3" s="339" t="s">
        <v>128</v>
      </c>
      <c r="H3" s="344" t="s">
        <v>129</v>
      </c>
      <c r="I3" s="345" t="s">
        <v>130</v>
      </c>
      <c r="J3" s="346" t="s">
        <v>15</v>
      </c>
      <c r="K3" s="346" t="s">
        <v>131</v>
      </c>
      <c r="L3" s="346" t="s">
        <v>47</v>
      </c>
      <c r="M3" s="346" t="s">
        <v>132</v>
      </c>
      <c r="N3" s="347" t="s">
        <v>133</v>
      </c>
      <c r="O3" s="347" t="s">
        <v>134</v>
      </c>
      <c r="P3" s="347" t="s">
        <v>135</v>
      </c>
      <c r="Q3" s="347" t="s">
        <v>136</v>
      </c>
      <c r="R3" s="347" t="s">
        <v>137</v>
      </c>
      <c r="S3" s="347" t="s">
        <v>138</v>
      </c>
      <c r="T3" s="347" t="s">
        <v>139</v>
      </c>
      <c r="U3" s="347" t="s">
        <v>140</v>
      </c>
      <c r="V3" s="347" t="s">
        <v>141</v>
      </c>
      <c r="W3" s="347" t="s">
        <v>142</v>
      </c>
      <c r="X3" s="347" t="s">
        <v>143</v>
      </c>
      <c r="Y3" s="347" t="s">
        <v>144</v>
      </c>
      <c r="Z3" s="347" t="s">
        <v>145</v>
      </c>
      <c r="AA3" s="347" t="s">
        <v>146</v>
      </c>
      <c r="AB3" s="347" t="s">
        <v>147</v>
      </c>
      <c r="AC3" s="347" t="s">
        <v>148</v>
      </c>
      <c r="AD3" s="347" t="s">
        <v>149</v>
      </c>
      <c r="AE3" s="347" t="s">
        <v>150</v>
      </c>
      <c r="AF3" s="347" t="s">
        <v>151</v>
      </c>
      <c r="AG3" s="347" t="s">
        <v>152</v>
      </c>
      <c r="AH3" s="347" t="s">
        <v>153</v>
      </c>
      <c r="AI3" s="347" t="s">
        <v>154</v>
      </c>
      <c r="AJ3" s="347" t="s">
        <v>46</v>
      </c>
      <c r="AK3" s="347" t="s">
        <v>155</v>
      </c>
      <c r="AL3" s="348" t="s">
        <v>156</v>
      </c>
      <c r="AM3" s="348" t="s">
        <v>157</v>
      </c>
      <c r="AN3" s="348" t="s">
        <v>158</v>
      </c>
      <c r="AO3" s="348" t="s">
        <v>159</v>
      </c>
      <c r="AP3" s="348" t="s">
        <v>160</v>
      </c>
      <c r="AQ3" s="348" t="s">
        <v>161</v>
      </c>
      <c r="AR3" s="349" t="s">
        <v>162</v>
      </c>
      <c r="AS3" s="349" t="s">
        <v>163</v>
      </c>
      <c r="AT3" s="350" t="s">
        <v>164</v>
      </c>
      <c r="AU3" s="350" t="s">
        <v>165</v>
      </c>
      <c r="AV3" s="350" t="s">
        <v>166</v>
      </c>
      <c r="AW3" s="350" t="s">
        <v>167</v>
      </c>
      <c r="AX3" s="350" t="s">
        <v>168</v>
      </c>
      <c r="AY3" s="350" t="s">
        <v>169</v>
      </c>
      <c r="AZ3" s="350" t="s">
        <v>170</v>
      </c>
      <c r="BA3" s="350" t="s">
        <v>171</v>
      </c>
      <c r="BB3" s="350" t="s">
        <v>172</v>
      </c>
      <c r="BC3" s="350" t="s">
        <v>173</v>
      </c>
      <c r="BD3" s="350" t="s">
        <v>174</v>
      </c>
      <c r="BE3" s="350" t="s">
        <v>175</v>
      </c>
      <c r="BF3" s="350" t="s">
        <v>176</v>
      </c>
      <c r="BG3" s="350" t="s">
        <v>177</v>
      </c>
      <c r="BH3" s="350" t="s">
        <v>178</v>
      </c>
      <c r="BI3" s="350" t="s">
        <v>179</v>
      </c>
      <c r="BJ3" s="350" t="s">
        <v>180</v>
      </c>
      <c r="BK3" s="350" t="s">
        <v>181</v>
      </c>
      <c r="BL3" s="351" t="s">
        <v>182</v>
      </c>
      <c r="BM3" s="351" t="s">
        <v>183</v>
      </c>
      <c r="BN3" s="351" t="s">
        <v>184</v>
      </c>
      <c r="BO3" s="351" t="s">
        <v>185</v>
      </c>
      <c r="BP3" s="351" t="s">
        <v>186</v>
      </c>
      <c r="BQ3" s="351" t="s">
        <v>187</v>
      </c>
      <c r="BR3" s="351" t="s">
        <v>188</v>
      </c>
      <c r="BS3" s="351" t="s">
        <v>189</v>
      </c>
      <c r="BT3" s="351" t="s">
        <v>190</v>
      </c>
      <c r="BU3" s="352" t="s">
        <v>191</v>
      </c>
      <c r="BV3" s="353" t="s">
        <v>192</v>
      </c>
      <c r="BW3" s="354" t="s">
        <v>193</v>
      </c>
      <c r="BX3" s="355" t="s">
        <v>194</v>
      </c>
      <c r="BY3" s="356" t="s">
        <v>195</v>
      </c>
      <c r="BZ3" s="351" t="s">
        <v>196</v>
      </c>
      <c r="CA3" s="357" t="s">
        <v>197</v>
      </c>
      <c r="CB3" s="358" t="s">
        <v>198</v>
      </c>
      <c r="CC3" s="359" t="s">
        <v>199</v>
      </c>
      <c r="CD3" s="360" t="s">
        <v>200</v>
      </c>
      <c r="CE3" s="361" t="s">
        <v>201</v>
      </c>
      <c r="CF3" s="362" t="s">
        <v>202</v>
      </c>
      <c r="CG3" s="363" t="s">
        <v>203</v>
      </c>
      <c r="CH3" s="364" t="s">
        <v>204</v>
      </c>
      <c r="CI3" s="365" t="s">
        <v>205</v>
      </c>
      <c r="CJ3" s="430" t="s">
        <v>206</v>
      </c>
      <c r="CK3" s="430" t="s">
        <v>207</v>
      </c>
      <c r="CL3" s="430" t="s">
        <v>208</v>
      </c>
      <c r="CM3" s="358" t="s">
        <v>209</v>
      </c>
      <c r="CN3" s="366" t="s">
        <v>210</v>
      </c>
      <c r="CO3" s="367" t="s">
        <v>211</v>
      </c>
      <c r="CP3" s="368" t="s">
        <v>212</v>
      </c>
      <c r="CQ3" s="370" t="s">
        <v>213</v>
      </c>
      <c r="CR3" s="371" t="s">
        <v>214</v>
      </c>
      <c r="CS3" s="371" t="s">
        <v>215</v>
      </c>
      <c r="CT3" s="369" t="s">
        <v>216</v>
      </c>
      <c r="CU3" s="373" t="s">
        <v>217</v>
      </c>
      <c r="CV3" s="457" t="s">
        <v>218</v>
      </c>
      <c r="CW3" s="372" t="s">
        <v>219</v>
      </c>
      <c r="CX3" s="429" t="s">
        <v>220</v>
      </c>
      <c r="CY3" s="374" t="s">
        <v>221</v>
      </c>
      <c r="CZ3" s="373" t="s">
        <v>222</v>
      </c>
    </row>
    <row r="4" spans="1:104" s="126" customFormat="1" ht="30" customHeight="1">
      <c r="B4" s="315"/>
      <c r="C4" s="293"/>
      <c r="D4" s="28"/>
      <c r="E4" s="28" t="s">
        <v>223</v>
      </c>
      <c r="F4" s="28"/>
      <c r="G4" s="438"/>
      <c r="H4" s="123" t="s">
        <v>224</v>
      </c>
      <c r="I4" s="82" t="s">
        <v>225</v>
      </c>
      <c r="J4" s="123" t="s">
        <v>224</v>
      </c>
      <c r="K4" s="125" t="s">
        <v>225</v>
      </c>
      <c r="L4" s="123" t="s">
        <v>224</v>
      </c>
      <c r="M4" s="125" t="s">
        <v>225</v>
      </c>
      <c r="N4" s="85" t="s">
        <v>224</v>
      </c>
      <c r="O4" s="82" t="s">
        <v>225</v>
      </c>
      <c r="P4" s="83" t="s">
        <v>224</v>
      </c>
      <c r="Q4" s="84" t="s">
        <v>225</v>
      </c>
      <c r="R4" s="83" t="s">
        <v>224</v>
      </c>
      <c r="S4" s="84" t="s">
        <v>225</v>
      </c>
      <c r="T4" s="83" t="s">
        <v>224</v>
      </c>
      <c r="U4" s="84" t="s">
        <v>225</v>
      </c>
      <c r="V4" s="83" t="s">
        <v>224</v>
      </c>
      <c r="W4" s="84" t="s">
        <v>225</v>
      </c>
      <c r="X4" s="83" t="s">
        <v>224</v>
      </c>
      <c r="Y4" s="84" t="s">
        <v>225</v>
      </c>
      <c r="Z4" s="83" t="s">
        <v>224</v>
      </c>
      <c r="AA4" s="84" t="s">
        <v>225</v>
      </c>
      <c r="AB4" s="83" t="s">
        <v>224</v>
      </c>
      <c r="AC4" s="84" t="s">
        <v>225</v>
      </c>
      <c r="AD4" s="83" t="s">
        <v>224</v>
      </c>
      <c r="AE4" s="84" t="s">
        <v>225</v>
      </c>
      <c r="AF4" s="85" t="s">
        <v>224</v>
      </c>
      <c r="AG4" s="82" t="s">
        <v>225</v>
      </c>
      <c r="AH4" s="85" t="s">
        <v>224</v>
      </c>
      <c r="AI4" s="82" t="s">
        <v>225</v>
      </c>
      <c r="AJ4" s="85" t="s">
        <v>224</v>
      </c>
      <c r="AK4" s="82" t="s">
        <v>225</v>
      </c>
      <c r="AL4" s="85" t="s">
        <v>224</v>
      </c>
      <c r="AM4" s="82" t="s">
        <v>225</v>
      </c>
      <c r="AN4" s="85" t="s">
        <v>224</v>
      </c>
      <c r="AO4" s="82" t="s">
        <v>225</v>
      </c>
      <c r="AP4" s="85" t="s">
        <v>224</v>
      </c>
      <c r="AQ4" s="82" t="s">
        <v>225</v>
      </c>
      <c r="AR4" s="236" t="s">
        <v>224</v>
      </c>
      <c r="AS4" s="82" t="s">
        <v>225</v>
      </c>
      <c r="AT4" s="85" t="s">
        <v>224</v>
      </c>
      <c r="AU4" s="82" t="s">
        <v>225</v>
      </c>
      <c r="AV4" s="85" t="s">
        <v>224</v>
      </c>
      <c r="AW4" s="82" t="s">
        <v>225</v>
      </c>
      <c r="AX4" s="85" t="s">
        <v>224</v>
      </c>
      <c r="AY4" s="82" t="s">
        <v>225</v>
      </c>
      <c r="AZ4" s="85" t="s">
        <v>224</v>
      </c>
      <c r="BA4" s="82" t="s">
        <v>225</v>
      </c>
      <c r="BB4" s="85" t="s">
        <v>224</v>
      </c>
      <c r="BC4" s="82" t="s">
        <v>225</v>
      </c>
      <c r="BD4" s="85" t="s">
        <v>224</v>
      </c>
      <c r="BE4" s="82" t="s">
        <v>225</v>
      </c>
      <c r="BF4" s="85" t="s">
        <v>224</v>
      </c>
      <c r="BG4" s="82" t="s">
        <v>225</v>
      </c>
      <c r="BH4" s="85" t="s">
        <v>224</v>
      </c>
      <c r="BI4" s="82" t="s">
        <v>225</v>
      </c>
      <c r="BJ4" s="85" t="s">
        <v>224</v>
      </c>
      <c r="BK4" s="82" t="s">
        <v>225</v>
      </c>
      <c r="BL4" s="85" t="s">
        <v>224</v>
      </c>
      <c r="BM4" s="82" t="s">
        <v>225</v>
      </c>
      <c r="BN4" s="85" t="s">
        <v>224</v>
      </c>
      <c r="BO4" s="85" t="s">
        <v>224</v>
      </c>
      <c r="BP4" s="82" t="s">
        <v>225</v>
      </c>
      <c r="BQ4" s="85" t="s">
        <v>224</v>
      </c>
      <c r="BR4" s="85" t="s">
        <v>224</v>
      </c>
      <c r="BS4" s="85" t="s">
        <v>224</v>
      </c>
      <c r="BT4" s="85" t="s">
        <v>224</v>
      </c>
      <c r="BU4" s="92" t="s">
        <v>224</v>
      </c>
      <c r="BV4" s="92" t="s">
        <v>224</v>
      </c>
      <c r="BW4" s="92" t="s">
        <v>224</v>
      </c>
      <c r="BX4" s="92" t="s">
        <v>224</v>
      </c>
      <c r="BY4" s="92" t="s">
        <v>224</v>
      </c>
      <c r="BZ4" s="92" t="s">
        <v>224</v>
      </c>
      <c r="CA4" s="92" t="s">
        <v>224</v>
      </c>
      <c r="CB4" s="92" t="s">
        <v>224</v>
      </c>
      <c r="CC4" s="92" t="s">
        <v>224</v>
      </c>
      <c r="CD4" s="92" t="s">
        <v>224</v>
      </c>
      <c r="CE4" s="92" t="s">
        <v>224</v>
      </c>
      <c r="CF4" s="92" t="s">
        <v>224</v>
      </c>
      <c r="CG4" s="92" t="s">
        <v>224</v>
      </c>
      <c r="CH4" s="92" t="s">
        <v>224</v>
      </c>
      <c r="CI4" s="92" t="s">
        <v>224</v>
      </c>
      <c r="CJ4" s="92" t="s">
        <v>224</v>
      </c>
      <c r="CK4" s="92" t="s">
        <v>224</v>
      </c>
      <c r="CL4" s="316" t="s">
        <v>224</v>
      </c>
      <c r="CM4" s="92" t="s">
        <v>224</v>
      </c>
      <c r="CN4" s="92" t="s">
        <v>224</v>
      </c>
      <c r="CO4" s="92" t="s">
        <v>224</v>
      </c>
      <c r="CP4" s="210" t="s">
        <v>224</v>
      </c>
      <c r="CQ4" s="316" t="s">
        <v>224</v>
      </c>
      <c r="CR4" s="316" t="s">
        <v>224</v>
      </c>
      <c r="CS4" s="316" t="s">
        <v>224</v>
      </c>
      <c r="CT4" s="316" t="s">
        <v>224</v>
      </c>
      <c r="CU4" s="316" t="s">
        <v>224</v>
      </c>
      <c r="CV4" s="316" t="s">
        <v>224</v>
      </c>
      <c r="CW4" s="316" t="s">
        <v>224</v>
      </c>
      <c r="CX4" s="316" t="s">
        <v>224</v>
      </c>
      <c r="CY4" s="316" t="s">
        <v>224</v>
      </c>
      <c r="CZ4" s="316" t="s">
        <v>224</v>
      </c>
    </row>
    <row r="5" spans="1:104" ht="50.25" customHeight="1">
      <c r="A5" s="78"/>
      <c r="B5" s="331">
        <v>1</v>
      </c>
      <c r="C5" s="263" t="s">
        <v>226</v>
      </c>
      <c r="D5" s="376" t="s">
        <v>227</v>
      </c>
      <c r="E5" s="376" t="s">
        <v>228</v>
      </c>
      <c r="F5" s="377" t="s">
        <v>229</v>
      </c>
      <c r="G5" s="439" t="s">
        <v>230</v>
      </c>
      <c r="H5" s="91">
        <v>46062</v>
      </c>
      <c r="I5" s="91">
        <f t="shared" ref="I5:I68" si="0">IF(ISBLANK(H5),"",EDATE(H5,24))-1</f>
        <v>46791</v>
      </c>
      <c r="J5" s="91">
        <v>46028</v>
      </c>
      <c r="K5" s="91">
        <f t="shared" ref="K5:K68" si="1">IF(ISBLANK(J5),"",EDATE(J5,24))-1</f>
        <v>46757</v>
      </c>
      <c r="L5" s="91">
        <v>45666</v>
      </c>
      <c r="M5" s="91">
        <f t="shared" ref="M5:M68" si="2">IF(ISBLANK(L5),"",EDATE(L5,24))-1</f>
        <v>46395</v>
      </c>
      <c r="N5" s="317" t="s">
        <v>231</v>
      </c>
      <c r="O5" s="317" t="s">
        <v>231</v>
      </c>
      <c r="P5" s="317" t="s">
        <v>231</v>
      </c>
      <c r="Q5" s="317" t="s">
        <v>231</v>
      </c>
      <c r="R5" s="319">
        <v>45797</v>
      </c>
      <c r="S5" s="91">
        <f>IF(ISBLANK(R5),"",EDATE(R5,24))-1</f>
        <v>46526</v>
      </c>
      <c r="T5" s="317">
        <v>45825</v>
      </c>
      <c r="U5" s="91">
        <f>IF(ISBLANK(T5),"",EDATE(T5,24))-1</f>
        <v>46554</v>
      </c>
      <c r="V5" s="379">
        <v>45615</v>
      </c>
      <c r="W5" s="380">
        <f>IF(ISBLANK(V5),"",EDATE(V5,24))-1</f>
        <v>46344</v>
      </c>
      <c r="X5" s="317">
        <v>45834</v>
      </c>
      <c r="Y5" s="91">
        <f>IF(ISBLANK(X5),"",EDATE(X5,24))-1</f>
        <v>46563</v>
      </c>
      <c r="Z5" s="317" t="s">
        <v>232</v>
      </c>
      <c r="AA5" s="317" t="s">
        <v>232</v>
      </c>
      <c r="AB5" s="317" t="s">
        <v>232</v>
      </c>
      <c r="AC5" s="317" t="s">
        <v>232</v>
      </c>
      <c r="AD5" s="319">
        <v>45795</v>
      </c>
      <c r="AE5" s="91">
        <f>IF(ISBLANK(AD5),"",EDATE(AD5,24))-1</f>
        <v>46524</v>
      </c>
      <c r="AF5" s="91">
        <v>45447</v>
      </c>
      <c r="AG5" s="380">
        <f t="shared" ref="AG5:AG18" si="3">IF(ISBLANK(AF5),"",EDATE(AF5,24))-1</f>
        <v>46176</v>
      </c>
      <c r="AH5" s="91">
        <v>46056</v>
      </c>
      <c r="AI5" s="91">
        <f t="shared" ref="AI5:AI18" si="4">IF(ISBLANK(AH5),"",EDATE(AH5,24))-1</f>
        <v>46785</v>
      </c>
      <c r="AJ5" s="91">
        <v>45674</v>
      </c>
      <c r="AK5" s="91">
        <f t="shared" ref="AK5:AK18" si="5">IF(ISBLANK(AJ5),"",EDATE(AJ5,24))-1</f>
        <v>46403</v>
      </c>
      <c r="AL5" s="91">
        <v>46069</v>
      </c>
      <c r="AM5" s="91">
        <f t="shared" ref="AM5:AM15" si="6">IF(ISBLANK(AL5),"",EDATE(AL5,12))-1</f>
        <v>46433</v>
      </c>
      <c r="AN5" s="91">
        <v>45708</v>
      </c>
      <c r="AO5" s="91">
        <f t="shared" ref="AO5:AO68" si="7">IF(ISBLANK(AN5),"",EDATE(AN5,24))-1</f>
        <v>46437</v>
      </c>
      <c r="AP5" s="91">
        <v>45709</v>
      </c>
      <c r="AQ5" s="91">
        <f t="shared" ref="AQ5:AQ68" si="8">IF(ISBLANK(AP5),"",EDATE(AP5,24))-1</f>
        <v>46438</v>
      </c>
      <c r="AR5" s="91">
        <v>45784</v>
      </c>
      <c r="AS5" s="91">
        <f t="shared" ref="AS5:AS68" si="9">IF(ISBLANK(AR5),"",EDATE(AR5,24))-1</f>
        <v>46513</v>
      </c>
      <c r="AT5" s="91">
        <v>45782</v>
      </c>
      <c r="AU5" s="91">
        <f>IF(ISBLANK(AT5),"",EDATE(AT5,24))-1</f>
        <v>46511</v>
      </c>
      <c r="AV5" s="91">
        <v>45782</v>
      </c>
      <c r="AW5" s="91">
        <f>IF(ISBLANK(AV5),"",EDATE(AV5,24))-1</f>
        <v>46511</v>
      </c>
      <c r="AX5" s="317" t="s">
        <v>232</v>
      </c>
      <c r="AY5" s="317" t="s">
        <v>232</v>
      </c>
      <c r="AZ5" s="317" t="s">
        <v>232</v>
      </c>
      <c r="BA5" s="317" t="s">
        <v>232</v>
      </c>
      <c r="BB5" s="317" t="s">
        <v>232</v>
      </c>
      <c r="BC5" s="317" t="s">
        <v>232</v>
      </c>
      <c r="BD5" s="317" t="s">
        <v>232</v>
      </c>
      <c r="BE5" s="317" t="s">
        <v>232</v>
      </c>
      <c r="BF5" s="317" t="s">
        <v>232</v>
      </c>
      <c r="BG5" s="317" t="s">
        <v>232</v>
      </c>
      <c r="BH5" s="317" t="s">
        <v>232</v>
      </c>
      <c r="BI5" s="317" t="s">
        <v>232</v>
      </c>
      <c r="BJ5" s="317" t="s">
        <v>232</v>
      </c>
      <c r="BK5" s="317" t="s">
        <v>232</v>
      </c>
      <c r="BL5" s="91">
        <v>45667</v>
      </c>
      <c r="BM5" s="91">
        <f t="shared" ref="BM5:BM68" si="10">IF(ISBLANK(BL5),"",EDATE(BL5,24))-1</f>
        <v>46396</v>
      </c>
      <c r="BN5" s="91">
        <v>44553</v>
      </c>
      <c r="BO5" s="317">
        <v>45757</v>
      </c>
      <c r="BP5" s="91">
        <f>IF(ISBLANK(BO5),"",EDATE(BO5,24))-1</f>
        <v>46486</v>
      </c>
      <c r="BQ5" s="317" t="s">
        <v>232</v>
      </c>
      <c r="BR5" s="317" t="s">
        <v>232</v>
      </c>
      <c r="BS5" s="91">
        <v>42975</v>
      </c>
      <c r="BT5" s="317">
        <v>43370</v>
      </c>
      <c r="BU5" s="91">
        <v>45035</v>
      </c>
      <c r="BV5" s="91">
        <v>45042</v>
      </c>
      <c r="BW5" s="91">
        <v>45128</v>
      </c>
      <c r="BX5" s="91">
        <v>45399</v>
      </c>
      <c r="BY5" s="91">
        <v>45331</v>
      </c>
      <c r="BZ5" s="91">
        <v>45324</v>
      </c>
      <c r="CA5" s="91">
        <v>45372</v>
      </c>
      <c r="CB5" s="91" t="s">
        <v>232</v>
      </c>
      <c r="CC5" s="91">
        <v>45376</v>
      </c>
      <c r="CD5" s="91">
        <v>45378</v>
      </c>
      <c r="CE5" s="91">
        <v>45483</v>
      </c>
      <c r="CF5" s="91">
        <v>45526</v>
      </c>
      <c r="CG5" s="91">
        <v>45532</v>
      </c>
      <c r="CH5" s="91">
        <v>45540</v>
      </c>
      <c r="CI5" s="91">
        <v>45546</v>
      </c>
      <c r="CJ5" s="91">
        <v>45559</v>
      </c>
      <c r="CK5" s="91">
        <v>45810</v>
      </c>
      <c r="CL5" s="10">
        <v>45981</v>
      </c>
      <c r="CM5" s="91" t="s">
        <v>232</v>
      </c>
      <c r="CN5" s="91">
        <v>45639</v>
      </c>
      <c r="CO5" s="91">
        <v>45699</v>
      </c>
      <c r="CP5" s="91">
        <v>45763</v>
      </c>
      <c r="CQ5" s="10">
        <v>45746</v>
      </c>
      <c r="CR5" s="10" t="s">
        <v>232</v>
      </c>
      <c r="CS5" s="10" t="s">
        <v>232</v>
      </c>
      <c r="CT5" s="10" t="s">
        <v>232</v>
      </c>
      <c r="CU5" s="11" t="s">
        <v>232</v>
      </c>
      <c r="CV5" s="11"/>
      <c r="CW5" s="11" t="s">
        <v>232</v>
      </c>
      <c r="CX5" s="10">
        <v>45910</v>
      </c>
      <c r="CY5" s="10"/>
      <c r="CZ5" s="10"/>
    </row>
    <row r="6" spans="1:104" ht="50.25" customHeight="1">
      <c r="A6" s="78"/>
      <c r="B6" s="331">
        <v>2</v>
      </c>
      <c r="C6" s="263" t="s">
        <v>233</v>
      </c>
      <c r="D6" s="376" t="s">
        <v>234</v>
      </c>
      <c r="E6" s="376" t="s">
        <v>235</v>
      </c>
      <c r="F6" s="377" t="s">
        <v>229</v>
      </c>
      <c r="G6" s="439" t="s">
        <v>230</v>
      </c>
      <c r="H6" s="91">
        <v>46062</v>
      </c>
      <c r="I6" s="91">
        <f t="shared" si="0"/>
        <v>46791</v>
      </c>
      <c r="J6" s="91">
        <v>46028</v>
      </c>
      <c r="K6" s="91">
        <f t="shared" si="1"/>
        <v>46757</v>
      </c>
      <c r="L6" s="91">
        <v>45666</v>
      </c>
      <c r="M6" s="91">
        <f t="shared" si="2"/>
        <v>46395</v>
      </c>
      <c r="N6" s="317" t="s">
        <v>231</v>
      </c>
      <c r="O6" s="317" t="s">
        <v>231</v>
      </c>
      <c r="P6" s="317" t="s">
        <v>231</v>
      </c>
      <c r="Q6" s="317" t="s">
        <v>231</v>
      </c>
      <c r="R6" s="319">
        <v>45797</v>
      </c>
      <c r="S6" s="91">
        <f>IF(ISBLANK(R6),"",EDATE(R6,24))-1</f>
        <v>46526</v>
      </c>
      <c r="T6" s="91">
        <v>45611</v>
      </c>
      <c r="U6" s="380">
        <f>IF(ISBLANK(T6),"",EDATE(T6,24))-1</f>
        <v>46340</v>
      </c>
      <c r="V6" s="379">
        <v>45615</v>
      </c>
      <c r="W6" s="380">
        <f>IF(ISBLANK(V6),"",EDATE(V6,24))-1</f>
        <v>46344</v>
      </c>
      <c r="X6" s="319">
        <v>45604</v>
      </c>
      <c r="Y6" s="380">
        <f>IF(ISBLANK(X6),"",EDATE(X6,24))-1</f>
        <v>46333</v>
      </c>
      <c r="Z6" s="319">
        <v>45779</v>
      </c>
      <c r="AA6" s="91">
        <f>IF(ISBLANK(Z6),"",EDATE(Z6,24))-1</f>
        <v>46508</v>
      </c>
      <c r="AB6" s="319">
        <v>45819</v>
      </c>
      <c r="AC6" s="91">
        <f>IF(ISBLANK(AB6),"",EDATE(AB6,24))</f>
        <v>46549</v>
      </c>
      <c r="AD6" s="319">
        <v>45795</v>
      </c>
      <c r="AE6" s="91">
        <f>IF(ISBLANK(AD6),"",EDATE(AD6,24))-1</f>
        <v>46524</v>
      </c>
      <c r="AF6" s="387">
        <v>46065</v>
      </c>
      <c r="AG6" s="91">
        <f t="shared" si="3"/>
        <v>46794</v>
      </c>
      <c r="AH6" s="91">
        <v>45800</v>
      </c>
      <c r="AI6" s="91">
        <f t="shared" si="4"/>
        <v>46529</v>
      </c>
      <c r="AJ6" s="91">
        <v>45791</v>
      </c>
      <c r="AK6" s="91">
        <f t="shared" si="5"/>
        <v>46520</v>
      </c>
      <c r="AL6" s="91">
        <v>46069</v>
      </c>
      <c r="AM6" s="91">
        <f t="shared" si="6"/>
        <v>46433</v>
      </c>
      <c r="AN6" s="91">
        <v>45708</v>
      </c>
      <c r="AO6" s="91">
        <f t="shared" si="7"/>
        <v>46437</v>
      </c>
      <c r="AP6" s="91">
        <v>45709</v>
      </c>
      <c r="AQ6" s="91">
        <f t="shared" si="8"/>
        <v>46438</v>
      </c>
      <c r="AR6" s="91">
        <v>45784</v>
      </c>
      <c r="AS6" s="91">
        <f t="shared" si="9"/>
        <v>46513</v>
      </c>
      <c r="AT6" s="91">
        <v>45782</v>
      </c>
      <c r="AU6" s="91">
        <f>IF(ISBLANK(AT6),"",EDATE(AT6,24))-1</f>
        <v>46511</v>
      </c>
      <c r="AV6" s="91">
        <v>45782</v>
      </c>
      <c r="AW6" s="91">
        <f>IF(ISBLANK(AV6),"",EDATE(AV6,24))-1</f>
        <v>46511</v>
      </c>
      <c r="AX6" s="317" t="s">
        <v>232</v>
      </c>
      <c r="AY6" s="317" t="s">
        <v>232</v>
      </c>
      <c r="AZ6" s="317" t="s">
        <v>232</v>
      </c>
      <c r="BA6" s="317" t="s">
        <v>232</v>
      </c>
      <c r="BB6" s="317" t="s">
        <v>232</v>
      </c>
      <c r="BC6" s="317" t="s">
        <v>232</v>
      </c>
      <c r="BD6" s="317" t="s">
        <v>232</v>
      </c>
      <c r="BE6" s="317" t="s">
        <v>232</v>
      </c>
      <c r="BF6" s="317" t="s">
        <v>232</v>
      </c>
      <c r="BG6" s="317" t="s">
        <v>232</v>
      </c>
      <c r="BH6" s="317" t="s">
        <v>232</v>
      </c>
      <c r="BI6" s="317" t="s">
        <v>232</v>
      </c>
      <c r="BJ6" s="317" t="s">
        <v>232</v>
      </c>
      <c r="BK6" s="317" t="s">
        <v>232</v>
      </c>
      <c r="BL6" s="91">
        <v>45793</v>
      </c>
      <c r="BM6" s="91">
        <f t="shared" si="10"/>
        <v>46522</v>
      </c>
      <c r="BN6" s="317" t="s">
        <v>232</v>
      </c>
      <c r="BO6" s="317" t="s">
        <v>232</v>
      </c>
      <c r="BP6" s="317" t="s">
        <v>232</v>
      </c>
      <c r="BQ6" s="317" t="s">
        <v>232</v>
      </c>
      <c r="BR6" s="317" t="s">
        <v>232</v>
      </c>
      <c r="BS6" s="317" t="s">
        <v>232</v>
      </c>
      <c r="BT6" s="317">
        <v>42751</v>
      </c>
      <c r="BU6" s="91">
        <v>45035</v>
      </c>
      <c r="BV6" s="91">
        <v>45042</v>
      </c>
      <c r="BW6" s="91">
        <v>45128</v>
      </c>
      <c r="BX6" s="91">
        <v>45910</v>
      </c>
      <c r="BY6" s="91">
        <v>45331</v>
      </c>
      <c r="BZ6" s="91">
        <v>45324</v>
      </c>
      <c r="CA6" s="91">
        <v>45372</v>
      </c>
      <c r="CB6" s="91" t="s">
        <v>232</v>
      </c>
      <c r="CC6" s="91">
        <v>45376</v>
      </c>
      <c r="CD6" s="91">
        <v>45378</v>
      </c>
      <c r="CE6" s="91">
        <v>45483</v>
      </c>
      <c r="CF6" s="91">
        <v>45524</v>
      </c>
      <c r="CG6" s="91">
        <v>45532</v>
      </c>
      <c r="CH6" s="91">
        <v>45540</v>
      </c>
      <c r="CI6" s="91">
        <v>45548</v>
      </c>
      <c r="CJ6" s="91">
        <v>45559</v>
      </c>
      <c r="CK6" s="91">
        <v>45810</v>
      </c>
      <c r="CL6" s="10">
        <v>45981</v>
      </c>
      <c r="CM6" s="91">
        <v>45609</v>
      </c>
      <c r="CN6" s="91">
        <v>45639</v>
      </c>
      <c r="CO6" s="91">
        <v>45699</v>
      </c>
      <c r="CP6" s="91" t="s">
        <v>232</v>
      </c>
      <c r="CQ6" s="10">
        <v>45757</v>
      </c>
      <c r="CR6" s="10" t="s">
        <v>232</v>
      </c>
      <c r="CS6" s="10" t="s">
        <v>232</v>
      </c>
      <c r="CT6" s="10">
        <v>45947</v>
      </c>
      <c r="CU6" s="10">
        <v>45931</v>
      </c>
      <c r="CV6" s="10"/>
      <c r="CW6" s="11" t="s">
        <v>232</v>
      </c>
      <c r="CX6" s="10">
        <v>45924</v>
      </c>
      <c r="CY6" s="10">
        <v>45953</v>
      </c>
      <c r="CZ6" s="10">
        <v>46017</v>
      </c>
    </row>
    <row r="7" spans="1:104" ht="138">
      <c r="A7" s="78"/>
      <c r="B7" s="331">
        <v>3</v>
      </c>
      <c r="C7" s="263" t="s">
        <v>236</v>
      </c>
      <c r="D7" s="376" t="s">
        <v>237</v>
      </c>
      <c r="E7" s="376" t="s">
        <v>238</v>
      </c>
      <c r="F7" s="377" t="s">
        <v>239</v>
      </c>
      <c r="G7" s="439" t="s">
        <v>240</v>
      </c>
      <c r="H7" s="319">
        <v>45792</v>
      </c>
      <c r="I7" s="91">
        <f t="shared" si="0"/>
        <v>46521</v>
      </c>
      <c r="J7" s="91">
        <v>46028</v>
      </c>
      <c r="K7" s="91">
        <f t="shared" si="1"/>
        <v>46757</v>
      </c>
      <c r="L7" s="91">
        <v>45666</v>
      </c>
      <c r="M7" s="91">
        <f t="shared" si="2"/>
        <v>46395</v>
      </c>
      <c r="N7" s="91">
        <v>45819</v>
      </c>
      <c r="O7" s="91">
        <f>IF(ISBLANK(N7),"",EDATE(N7,24))-1</f>
        <v>46548</v>
      </c>
      <c r="P7" s="91">
        <v>45819</v>
      </c>
      <c r="Q7" s="91">
        <f>IF(ISBLANK(P7),"",EDATE(P7,24))-1</f>
        <v>46548</v>
      </c>
      <c r="R7" s="91" t="s">
        <v>231</v>
      </c>
      <c r="S7" s="91" t="s">
        <v>231</v>
      </c>
      <c r="T7" s="317" t="s">
        <v>232</v>
      </c>
      <c r="U7" s="317" t="s">
        <v>232</v>
      </c>
      <c r="V7" s="317" t="s">
        <v>232</v>
      </c>
      <c r="W7" s="317" t="s">
        <v>232</v>
      </c>
      <c r="X7" s="317" t="s">
        <v>232</v>
      </c>
      <c r="Y7" s="317" t="s">
        <v>232</v>
      </c>
      <c r="Z7" s="317" t="s">
        <v>232</v>
      </c>
      <c r="AA7" s="317" t="s">
        <v>232</v>
      </c>
      <c r="AB7" s="317" t="s">
        <v>232</v>
      </c>
      <c r="AC7" s="317" t="s">
        <v>232</v>
      </c>
      <c r="AD7" s="317" t="s">
        <v>232</v>
      </c>
      <c r="AE7" s="317" t="s">
        <v>232</v>
      </c>
      <c r="AF7" s="319">
        <v>45663</v>
      </c>
      <c r="AG7" s="91">
        <f t="shared" si="3"/>
        <v>46392</v>
      </c>
      <c r="AH7" s="91">
        <v>46056</v>
      </c>
      <c r="AI7" s="91">
        <f t="shared" si="4"/>
        <v>46785</v>
      </c>
      <c r="AJ7" s="91">
        <v>45791</v>
      </c>
      <c r="AK7" s="91">
        <f t="shared" si="5"/>
        <v>46520</v>
      </c>
      <c r="AL7" s="91">
        <v>46069</v>
      </c>
      <c r="AM7" s="91">
        <f t="shared" si="6"/>
        <v>46433</v>
      </c>
      <c r="AN7" s="91">
        <v>45708</v>
      </c>
      <c r="AO7" s="91">
        <f t="shared" si="7"/>
        <v>46437</v>
      </c>
      <c r="AP7" s="91">
        <v>45709</v>
      </c>
      <c r="AQ7" s="91">
        <f t="shared" si="8"/>
        <v>46438</v>
      </c>
      <c r="AR7" s="91">
        <v>45784</v>
      </c>
      <c r="AS7" s="91">
        <f t="shared" si="9"/>
        <v>46513</v>
      </c>
      <c r="AT7" s="91">
        <v>45782</v>
      </c>
      <c r="AU7" s="91">
        <f>IF(ISBLANK(AT7),"",EDATE(AT7,24))-1</f>
        <v>46511</v>
      </c>
      <c r="AV7" s="317" t="s">
        <v>232</v>
      </c>
      <c r="AW7" s="317" t="s">
        <v>232</v>
      </c>
      <c r="AX7" s="91">
        <v>45781</v>
      </c>
      <c r="AY7" s="91">
        <f>IF(ISBLANK(AX7),"",EDATE(AX7,24))-1</f>
        <v>46510</v>
      </c>
      <c r="AZ7" s="317" t="s">
        <v>232</v>
      </c>
      <c r="BA7" s="317" t="s">
        <v>232</v>
      </c>
      <c r="BB7" s="317" t="s">
        <v>232</v>
      </c>
      <c r="BC7" s="317" t="s">
        <v>232</v>
      </c>
      <c r="BD7" s="317" t="s">
        <v>232</v>
      </c>
      <c r="BE7" s="91" t="s">
        <v>232</v>
      </c>
      <c r="BF7" s="317" t="s">
        <v>232</v>
      </c>
      <c r="BG7" s="317" t="s">
        <v>232</v>
      </c>
      <c r="BH7" s="317" t="s">
        <v>232</v>
      </c>
      <c r="BI7" s="317" t="s">
        <v>232</v>
      </c>
      <c r="BJ7" s="317" t="s">
        <v>232</v>
      </c>
      <c r="BK7" s="317" t="s">
        <v>232</v>
      </c>
      <c r="BL7" s="91">
        <v>45575</v>
      </c>
      <c r="BM7" s="380">
        <f t="shared" si="10"/>
        <v>46304</v>
      </c>
      <c r="BN7" s="317" t="s">
        <v>232</v>
      </c>
      <c r="BO7" s="317" t="s">
        <v>232</v>
      </c>
      <c r="BP7" s="317" t="s">
        <v>232</v>
      </c>
      <c r="BQ7" s="317" t="s">
        <v>232</v>
      </c>
      <c r="BR7" s="317" t="s">
        <v>232</v>
      </c>
      <c r="BS7" s="91">
        <v>45483</v>
      </c>
      <c r="BT7" s="91">
        <v>41261</v>
      </c>
      <c r="BU7" s="91">
        <v>45138</v>
      </c>
      <c r="BV7" s="91">
        <v>45137</v>
      </c>
      <c r="BW7" s="91">
        <v>45465</v>
      </c>
      <c r="BX7" s="91">
        <v>45910</v>
      </c>
      <c r="BY7" s="91">
        <v>45331</v>
      </c>
      <c r="BZ7" s="91">
        <v>45324</v>
      </c>
      <c r="CA7" s="91">
        <v>45372</v>
      </c>
      <c r="CB7" s="91">
        <v>45790</v>
      </c>
      <c r="CC7" s="91">
        <v>45376</v>
      </c>
      <c r="CD7" s="91">
        <v>45378</v>
      </c>
      <c r="CE7" s="91" t="s">
        <v>232</v>
      </c>
      <c r="CF7" s="91">
        <v>45524</v>
      </c>
      <c r="CG7" s="91">
        <v>45532</v>
      </c>
      <c r="CH7" s="91">
        <v>45540</v>
      </c>
      <c r="CI7" s="91">
        <v>45548</v>
      </c>
      <c r="CJ7" s="91">
        <v>45559</v>
      </c>
      <c r="CK7" s="91" t="s">
        <v>232</v>
      </c>
      <c r="CL7" s="427" t="s">
        <v>232</v>
      </c>
      <c r="CM7" s="91">
        <v>45609</v>
      </c>
      <c r="CN7" s="91">
        <v>45639</v>
      </c>
      <c r="CO7" s="91">
        <v>45701</v>
      </c>
      <c r="CP7" s="91" t="s">
        <v>232</v>
      </c>
      <c r="CQ7" s="10">
        <v>45743</v>
      </c>
      <c r="CR7" s="10" t="s">
        <v>232</v>
      </c>
      <c r="CS7" s="10" t="s">
        <v>232</v>
      </c>
      <c r="CT7" s="10" t="s">
        <v>232</v>
      </c>
      <c r="CU7" s="10">
        <v>45931</v>
      </c>
      <c r="CV7" s="10"/>
      <c r="CW7" s="11" t="s">
        <v>232</v>
      </c>
      <c r="CX7" s="10">
        <v>45882</v>
      </c>
      <c r="CY7" s="10">
        <v>45951</v>
      </c>
      <c r="CZ7" s="10">
        <v>46017</v>
      </c>
    </row>
    <row r="8" spans="1:104" ht="167.25" customHeight="1">
      <c r="A8" s="78"/>
      <c r="B8" s="331">
        <v>4</v>
      </c>
      <c r="C8" s="263" t="s">
        <v>241</v>
      </c>
      <c r="D8" s="376" t="s">
        <v>242</v>
      </c>
      <c r="E8" s="376" t="s">
        <v>243</v>
      </c>
      <c r="F8" s="377" t="s">
        <v>239</v>
      </c>
      <c r="G8" s="440" t="s">
        <v>244</v>
      </c>
      <c r="H8" s="319">
        <v>45792</v>
      </c>
      <c r="I8" s="91">
        <f t="shared" si="0"/>
        <v>46521</v>
      </c>
      <c r="J8" s="91">
        <v>46028</v>
      </c>
      <c r="K8" s="91">
        <f t="shared" si="1"/>
        <v>46757</v>
      </c>
      <c r="L8" s="91">
        <v>45666</v>
      </c>
      <c r="M8" s="91">
        <f t="shared" si="2"/>
        <v>46395</v>
      </c>
      <c r="N8" s="91">
        <v>45819</v>
      </c>
      <c r="O8" s="91">
        <f>IF(ISBLANK(N8),"",EDATE(N8,24))-1</f>
        <v>46548</v>
      </c>
      <c r="P8" s="91">
        <v>45819</v>
      </c>
      <c r="Q8" s="91">
        <f>IF(ISBLANK(P8),"",EDATE(P8,24))-1</f>
        <v>46548</v>
      </c>
      <c r="R8" s="319">
        <v>45797</v>
      </c>
      <c r="S8" s="91">
        <f t="shared" ref="S8:S17" si="11">IF(ISBLANK(R8),"",EDATE(R8,24))</f>
        <v>46527</v>
      </c>
      <c r="T8" s="317" t="s">
        <v>232</v>
      </c>
      <c r="U8" s="317" t="s">
        <v>232</v>
      </c>
      <c r="V8" s="317" t="s">
        <v>232</v>
      </c>
      <c r="W8" s="317" t="s">
        <v>232</v>
      </c>
      <c r="X8" s="319">
        <v>45604</v>
      </c>
      <c r="Y8" s="380">
        <f>IF(ISBLANK(X8),"",EDATE(X8,24))-1</f>
        <v>46333</v>
      </c>
      <c r="Z8" s="317" t="s">
        <v>232</v>
      </c>
      <c r="AA8" s="317" t="s">
        <v>232</v>
      </c>
      <c r="AB8" s="317" t="s">
        <v>232</v>
      </c>
      <c r="AC8" s="317" t="s">
        <v>232</v>
      </c>
      <c r="AD8" s="317" t="s">
        <v>232</v>
      </c>
      <c r="AE8" s="317" t="s">
        <v>232</v>
      </c>
      <c r="AF8" s="319">
        <v>45663</v>
      </c>
      <c r="AG8" s="91">
        <f t="shared" si="3"/>
        <v>46392</v>
      </c>
      <c r="AH8" s="91">
        <v>45800</v>
      </c>
      <c r="AI8" s="91">
        <f t="shared" si="4"/>
        <v>46529</v>
      </c>
      <c r="AJ8" s="91">
        <v>45744</v>
      </c>
      <c r="AK8" s="91">
        <f t="shared" si="5"/>
        <v>46473</v>
      </c>
      <c r="AL8" s="91">
        <v>46069</v>
      </c>
      <c r="AM8" s="91">
        <f t="shared" si="6"/>
        <v>46433</v>
      </c>
      <c r="AN8" s="91">
        <v>46032</v>
      </c>
      <c r="AO8" s="91">
        <f t="shared" si="7"/>
        <v>46761</v>
      </c>
      <c r="AP8" s="91">
        <v>45709</v>
      </c>
      <c r="AQ8" s="91">
        <f t="shared" si="8"/>
        <v>46438</v>
      </c>
      <c r="AR8" s="91">
        <v>45784</v>
      </c>
      <c r="AS8" s="91">
        <f t="shared" si="9"/>
        <v>46513</v>
      </c>
      <c r="AT8" s="317" t="s">
        <v>232</v>
      </c>
      <c r="AU8" s="317" t="s">
        <v>232</v>
      </c>
      <c r="AV8" s="317" t="s">
        <v>232</v>
      </c>
      <c r="AW8" s="317" t="s">
        <v>232</v>
      </c>
      <c r="AX8" s="319">
        <v>45614</v>
      </c>
      <c r="AY8" s="91">
        <f>IF(ISBLANK(AX8),"",EDATE(AX8,24))-1</f>
        <v>46343</v>
      </c>
      <c r="AZ8" s="317">
        <v>45812</v>
      </c>
      <c r="BA8" s="91">
        <f>IF(ISBLANK(AZ8),"",EDATE(AZ8,24))-1</f>
        <v>46541</v>
      </c>
      <c r="BB8" s="317" t="s">
        <v>232</v>
      </c>
      <c r="BC8" s="317" t="s">
        <v>232</v>
      </c>
      <c r="BD8" s="317" t="s">
        <v>232</v>
      </c>
      <c r="BE8" s="317" t="s">
        <v>232</v>
      </c>
      <c r="BF8" s="317" t="s">
        <v>232</v>
      </c>
      <c r="BG8" s="317" t="s">
        <v>232</v>
      </c>
      <c r="BH8" s="317" t="s">
        <v>232</v>
      </c>
      <c r="BI8" s="317" t="s">
        <v>232</v>
      </c>
      <c r="BJ8" s="317" t="s">
        <v>232</v>
      </c>
      <c r="BK8" s="317" t="s">
        <v>232</v>
      </c>
      <c r="BL8" s="317">
        <v>45667</v>
      </c>
      <c r="BM8" s="91">
        <f t="shared" si="10"/>
        <v>46396</v>
      </c>
      <c r="BN8" s="317" t="s">
        <v>232</v>
      </c>
      <c r="BO8" s="317" t="s">
        <v>232</v>
      </c>
      <c r="BP8" s="317" t="s">
        <v>232</v>
      </c>
      <c r="BQ8" s="317" t="s">
        <v>232</v>
      </c>
      <c r="BR8" s="317" t="s">
        <v>232</v>
      </c>
      <c r="BS8" s="317" t="s">
        <v>232</v>
      </c>
      <c r="BT8" s="317" t="s">
        <v>232</v>
      </c>
      <c r="BU8" s="91">
        <v>45241</v>
      </c>
      <c r="BV8" s="91">
        <v>45243</v>
      </c>
      <c r="BW8" s="91">
        <v>45240</v>
      </c>
      <c r="BX8" s="91">
        <v>45280</v>
      </c>
      <c r="BY8" s="91">
        <v>45331</v>
      </c>
      <c r="BZ8" s="91">
        <v>45324</v>
      </c>
      <c r="CA8" s="91">
        <v>45372</v>
      </c>
      <c r="CB8" s="91">
        <v>45790</v>
      </c>
      <c r="CC8" s="91">
        <v>45376</v>
      </c>
      <c r="CD8" s="91">
        <v>45378</v>
      </c>
      <c r="CE8" s="91">
        <v>45483</v>
      </c>
      <c r="CF8" s="91">
        <v>45524</v>
      </c>
      <c r="CG8" s="91">
        <v>45532</v>
      </c>
      <c r="CH8" s="91">
        <v>45616</v>
      </c>
      <c r="CI8" s="91">
        <v>45546</v>
      </c>
      <c r="CJ8" s="91">
        <v>45559</v>
      </c>
      <c r="CK8" s="91" t="s">
        <v>232</v>
      </c>
      <c r="CL8" s="11" t="s">
        <v>232</v>
      </c>
      <c r="CM8" s="91" t="s">
        <v>232</v>
      </c>
      <c r="CN8" s="91">
        <v>45639</v>
      </c>
      <c r="CO8" s="91">
        <v>45699</v>
      </c>
      <c r="CP8" s="91" t="s">
        <v>232</v>
      </c>
      <c r="CQ8" s="10">
        <v>45749</v>
      </c>
      <c r="CR8" s="10" t="s">
        <v>232</v>
      </c>
      <c r="CS8" s="10" t="s">
        <v>232</v>
      </c>
      <c r="CT8" s="10" t="s">
        <v>232</v>
      </c>
      <c r="CU8" s="11" t="s">
        <v>232</v>
      </c>
      <c r="CV8" s="11">
        <v>46070</v>
      </c>
      <c r="CW8" s="11" t="s">
        <v>232</v>
      </c>
      <c r="CX8" s="11" t="s">
        <v>232</v>
      </c>
      <c r="CY8" s="11"/>
      <c r="CZ8" s="10">
        <v>46017</v>
      </c>
    </row>
    <row r="9" spans="1:104" ht="50.25" customHeight="1">
      <c r="A9" s="78"/>
      <c r="B9" s="331">
        <v>5</v>
      </c>
      <c r="C9" s="263" t="s">
        <v>245</v>
      </c>
      <c r="D9" s="376" t="s">
        <v>246</v>
      </c>
      <c r="E9" s="376" t="s">
        <v>247</v>
      </c>
      <c r="F9" s="377" t="s">
        <v>248</v>
      </c>
      <c r="G9" s="439" t="s">
        <v>249</v>
      </c>
      <c r="H9" s="319">
        <v>45792</v>
      </c>
      <c r="I9" s="91">
        <f t="shared" si="0"/>
        <v>46521</v>
      </c>
      <c r="J9" s="91">
        <v>46028</v>
      </c>
      <c r="K9" s="91">
        <f t="shared" si="1"/>
        <v>46757</v>
      </c>
      <c r="L9" s="91">
        <v>45666</v>
      </c>
      <c r="M9" s="91">
        <f t="shared" si="2"/>
        <v>46395</v>
      </c>
      <c r="N9" s="91" t="s">
        <v>231</v>
      </c>
      <c r="O9" s="91" t="s">
        <v>231</v>
      </c>
      <c r="P9" s="91" t="s">
        <v>231</v>
      </c>
      <c r="Q9" s="91" t="s">
        <v>231</v>
      </c>
      <c r="R9" s="319">
        <v>45797</v>
      </c>
      <c r="S9" s="91">
        <f t="shared" si="11"/>
        <v>46527</v>
      </c>
      <c r="T9" s="91">
        <v>45611</v>
      </c>
      <c r="U9" s="380">
        <f t="shared" ref="U9:U19" si="12">IF(ISBLANK(T9),"",EDATE(T9,24))-1</f>
        <v>46340</v>
      </c>
      <c r="V9" s="91">
        <v>45695</v>
      </c>
      <c r="W9" s="91">
        <f t="shared" ref="W9:W17" si="13">IF(ISBLANK(V9),"",EDATE(V9,24))-1</f>
        <v>46424</v>
      </c>
      <c r="X9" s="317" t="s">
        <v>232</v>
      </c>
      <c r="Y9" s="317" t="s">
        <v>232</v>
      </c>
      <c r="Z9" s="317" t="s">
        <v>232</v>
      </c>
      <c r="AA9" s="317" t="s">
        <v>232</v>
      </c>
      <c r="AB9" s="317" t="s">
        <v>232</v>
      </c>
      <c r="AC9" s="317" t="s">
        <v>232</v>
      </c>
      <c r="AD9" s="319">
        <v>45795</v>
      </c>
      <c r="AE9" s="91">
        <f t="shared" ref="AE9:AE17" si="14">IF(ISBLANK(AD9),"",EDATE(AD9,24))-1</f>
        <v>46524</v>
      </c>
      <c r="AF9" s="319">
        <v>45821</v>
      </c>
      <c r="AG9" s="91">
        <f t="shared" si="3"/>
        <v>46550</v>
      </c>
      <c r="AH9" s="91">
        <v>46056</v>
      </c>
      <c r="AI9" s="91">
        <f t="shared" si="4"/>
        <v>46785</v>
      </c>
      <c r="AJ9" s="91">
        <v>45674</v>
      </c>
      <c r="AK9" s="91">
        <f t="shared" si="5"/>
        <v>46403</v>
      </c>
      <c r="AL9" s="91">
        <v>46069</v>
      </c>
      <c r="AM9" s="91">
        <f t="shared" si="6"/>
        <v>46433</v>
      </c>
      <c r="AN9" s="91">
        <v>46032</v>
      </c>
      <c r="AO9" s="91">
        <f t="shared" si="7"/>
        <v>46761</v>
      </c>
      <c r="AP9" s="91">
        <v>45709</v>
      </c>
      <c r="AQ9" s="91">
        <f t="shared" si="8"/>
        <v>46438</v>
      </c>
      <c r="AR9" s="91">
        <v>45784</v>
      </c>
      <c r="AS9" s="91">
        <f t="shared" si="9"/>
        <v>46513</v>
      </c>
      <c r="AT9" s="91">
        <v>45782</v>
      </c>
      <c r="AU9" s="91">
        <f>IF(ISBLANK(AT9),"",EDATE(AT9,24))-1</f>
        <v>46511</v>
      </c>
      <c r="AV9" s="91">
        <v>45782</v>
      </c>
      <c r="AW9" s="91">
        <f>IF(ISBLANK(AV9),"",EDATE(AV9,24))-1</f>
        <v>46511</v>
      </c>
      <c r="AX9" s="91"/>
      <c r="AY9" s="317" t="s">
        <v>232</v>
      </c>
      <c r="AZ9" s="317" t="s">
        <v>232</v>
      </c>
      <c r="BA9" s="317" t="s">
        <v>232</v>
      </c>
      <c r="BB9" s="317" t="s">
        <v>232</v>
      </c>
      <c r="BC9" s="317" t="s">
        <v>232</v>
      </c>
      <c r="BD9" s="317" t="s">
        <v>232</v>
      </c>
      <c r="BE9" s="317" t="s">
        <v>232</v>
      </c>
      <c r="BF9" s="317" t="s">
        <v>232</v>
      </c>
      <c r="BG9" s="317" t="s">
        <v>232</v>
      </c>
      <c r="BH9" s="317" t="s">
        <v>232</v>
      </c>
      <c r="BI9" s="317" t="s">
        <v>232</v>
      </c>
      <c r="BJ9" s="317" t="s">
        <v>232</v>
      </c>
      <c r="BK9" s="317" t="s">
        <v>232</v>
      </c>
      <c r="BL9" s="91">
        <v>45456</v>
      </c>
      <c r="BM9" s="380">
        <f t="shared" si="10"/>
        <v>46185</v>
      </c>
      <c r="BN9" s="317" t="s">
        <v>232</v>
      </c>
      <c r="BO9" s="317" t="s">
        <v>232</v>
      </c>
      <c r="BP9" s="317" t="s">
        <v>232</v>
      </c>
      <c r="BQ9" s="317" t="s">
        <v>232</v>
      </c>
      <c r="BR9" s="317" t="s">
        <v>232</v>
      </c>
      <c r="BS9" s="317" t="s">
        <v>232</v>
      </c>
      <c r="BT9" s="317">
        <v>42145</v>
      </c>
      <c r="BU9" s="91">
        <v>45241</v>
      </c>
      <c r="BV9" s="91">
        <v>45243</v>
      </c>
      <c r="BW9" s="91">
        <v>45240</v>
      </c>
      <c r="BX9" s="91">
        <v>45910</v>
      </c>
      <c r="BY9" s="91">
        <v>45331</v>
      </c>
      <c r="BZ9" s="91">
        <v>46000</v>
      </c>
      <c r="CA9" s="91">
        <v>45372</v>
      </c>
      <c r="CB9" s="91" t="s">
        <v>232</v>
      </c>
      <c r="CC9" s="91">
        <v>45376</v>
      </c>
      <c r="CD9" s="91">
        <v>45378</v>
      </c>
      <c r="CE9" s="91">
        <v>45483</v>
      </c>
      <c r="CF9" s="91">
        <v>45524</v>
      </c>
      <c r="CG9" s="91">
        <v>45532</v>
      </c>
      <c r="CH9" s="91">
        <v>45540</v>
      </c>
      <c r="CI9" s="91">
        <v>45548</v>
      </c>
      <c r="CJ9" s="91">
        <v>45559</v>
      </c>
      <c r="CK9" s="91">
        <v>45810</v>
      </c>
      <c r="CL9" s="428">
        <v>45981</v>
      </c>
      <c r="CM9" s="91" t="s">
        <v>232</v>
      </c>
      <c r="CN9" s="91">
        <v>45639</v>
      </c>
      <c r="CO9" s="91">
        <v>45699</v>
      </c>
      <c r="CP9" s="91" t="s">
        <v>232</v>
      </c>
      <c r="CQ9" s="10">
        <v>45743</v>
      </c>
      <c r="CR9" s="10" t="s">
        <v>232</v>
      </c>
      <c r="CS9" s="10" t="s">
        <v>232</v>
      </c>
      <c r="CT9" s="10" t="s">
        <v>232</v>
      </c>
      <c r="CU9" s="11" t="s">
        <v>232</v>
      </c>
      <c r="CV9" s="11"/>
      <c r="CW9" s="11" t="s">
        <v>232</v>
      </c>
      <c r="CX9" s="11" t="s">
        <v>232</v>
      </c>
      <c r="CY9" s="11"/>
      <c r="CZ9" s="10"/>
    </row>
    <row r="10" spans="1:104" ht="50.25" customHeight="1">
      <c r="A10" s="78"/>
      <c r="B10" s="331">
        <v>6</v>
      </c>
      <c r="C10" s="263" t="s">
        <v>250</v>
      </c>
      <c r="D10" s="376" t="s">
        <v>251</v>
      </c>
      <c r="E10" s="376" t="s">
        <v>252</v>
      </c>
      <c r="F10" s="377" t="s">
        <v>253</v>
      </c>
      <c r="G10" s="441" t="s">
        <v>232</v>
      </c>
      <c r="H10" s="91">
        <v>46062</v>
      </c>
      <c r="I10" s="91">
        <f t="shared" si="0"/>
        <v>46791</v>
      </c>
      <c r="J10" s="91">
        <v>46028</v>
      </c>
      <c r="K10" s="91">
        <f t="shared" si="1"/>
        <v>46757</v>
      </c>
      <c r="L10" s="319">
        <v>46058</v>
      </c>
      <c r="M10" s="91">
        <f t="shared" si="2"/>
        <v>46787</v>
      </c>
      <c r="N10" s="91">
        <v>45370</v>
      </c>
      <c r="O10" s="378">
        <f t="shared" ref="O10:O16" si="15">IF(ISBLANK(N10),"",EDATE(N10,24))-1</f>
        <v>46099</v>
      </c>
      <c r="P10" s="91">
        <v>45370</v>
      </c>
      <c r="Q10" s="91">
        <f t="shared" ref="Q10:Q16" si="16">IF(ISBLANK(P10),"",EDATE(P10,24))-1</f>
        <v>46099</v>
      </c>
      <c r="R10" s="91">
        <v>45433</v>
      </c>
      <c r="S10" s="380">
        <f t="shared" si="11"/>
        <v>46163</v>
      </c>
      <c r="T10" s="91">
        <v>45611</v>
      </c>
      <c r="U10" s="380">
        <f t="shared" si="12"/>
        <v>46340</v>
      </c>
      <c r="V10" s="91">
        <v>45695</v>
      </c>
      <c r="W10" s="91">
        <f t="shared" si="13"/>
        <v>46424</v>
      </c>
      <c r="X10" s="91">
        <v>45685</v>
      </c>
      <c r="Y10" s="91">
        <f>IF(ISBLANK(X10),"",EDATE(X10,24))-1</f>
        <v>46414</v>
      </c>
      <c r="Z10" s="319">
        <v>45779</v>
      </c>
      <c r="AA10" s="91">
        <f>IF(ISBLANK(Z10),"",EDATE(Z10,24))-1</f>
        <v>46508</v>
      </c>
      <c r="AB10" s="317" t="s">
        <v>232</v>
      </c>
      <c r="AC10" s="317" t="s">
        <v>232</v>
      </c>
      <c r="AD10" s="319">
        <v>45795</v>
      </c>
      <c r="AE10" s="91">
        <f t="shared" si="14"/>
        <v>46524</v>
      </c>
      <c r="AF10" s="387">
        <v>46065</v>
      </c>
      <c r="AG10" s="91">
        <f t="shared" si="3"/>
        <v>46794</v>
      </c>
      <c r="AH10" s="91">
        <v>46056</v>
      </c>
      <c r="AI10" s="91">
        <f t="shared" si="4"/>
        <v>46785</v>
      </c>
      <c r="AJ10" s="91">
        <v>46063</v>
      </c>
      <c r="AK10" s="91">
        <f t="shared" si="5"/>
        <v>46792</v>
      </c>
      <c r="AL10" s="91">
        <v>46069</v>
      </c>
      <c r="AM10" s="91">
        <f t="shared" si="6"/>
        <v>46433</v>
      </c>
      <c r="AN10" s="91">
        <v>46032</v>
      </c>
      <c r="AO10" s="91">
        <f t="shared" si="7"/>
        <v>46761</v>
      </c>
      <c r="AP10" s="91">
        <v>45709</v>
      </c>
      <c r="AQ10" s="91">
        <f t="shared" si="8"/>
        <v>46438</v>
      </c>
      <c r="AR10" s="91">
        <v>45784</v>
      </c>
      <c r="AS10" s="91">
        <f t="shared" si="9"/>
        <v>46513</v>
      </c>
      <c r="AT10" s="317" t="s">
        <v>232</v>
      </c>
      <c r="AU10" s="317" t="s">
        <v>232</v>
      </c>
      <c r="AV10" s="317" t="s">
        <v>232</v>
      </c>
      <c r="AW10" s="317" t="s">
        <v>232</v>
      </c>
      <c r="AX10" s="317" t="s">
        <v>232</v>
      </c>
      <c r="AY10" s="317" t="s">
        <v>232</v>
      </c>
      <c r="AZ10" s="317" t="s">
        <v>232</v>
      </c>
      <c r="BA10" s="317" t="s">
        <v>232</v>
      </c>
      <c r="BB10" s="317" t="s">
        <v>232</v>
      </c>
      <c r="BC10" s="317" t="s">
        <v>232</v>
      </c>
      <c r="BD10" s="317" t="s">
        <v>232</v>
      </c>
      <c r="BE10" s="317" t="s">
        <v>232</v>
      </c>
      <c r="BF10" s="317" t="s">
        <v>232</v>
      </c>
      <c r="BG10" s="317" t="s">
        <v>232</v>
      </c>
      <c r="BH10" s="317" t="s">
        <v>232</v>
      </c>
      <c r="BI10" s="317" t="s">
        <v>232</v>
      </c>
      <c r="BJ10" s="317" t="s">
        <v>232</v>
      </c>
      <c r="BK10" s="317" t="s">
        <v>232</v>
      </c>
      <c r="BL10" s="91">
        <v>45456</v>
      </c>
      <c r="BM10" s="380">
        <f t="shared" si="10"/>
        <v>46185</v>
      </c>
      <c r="BN10" s="317" t="s">
        <v>232</v>
      </c>
      <c r="BO10" s="317" t="s">
        <v>232</v>
      </c>
      <c r="BP10" s="317" t="s">
        <v>232</v>
      </c>
      <c r="BQ10" s="317" t="s">
        <v>232</v>
      </c>
      <c r="BR10" s="317" t="s">
        <v>232</v>
      </c>
      <c r="BS10" s="317" t="s">
        <v>232</v>
      </c>
      <c r="BT10" s="317" t="s">
        <v>232</v>
      </c>
      <c r="BU10" s="91">
        <v>45466</v>
      </c>
      <c r="BV10" s="91">
        <v>45477</v>
      </c>
      <c r="BW10" s="91">
        <v>45465</v>
      </c>
      <c r="BX10" s="91">
        <v>45399</v>
      </c>
      <c r="BY10" s="91">
        <v>45331</v>
      </c>
      <c r="BZ10" s="91">
        <v>45324</v>
      </c>
      <c r="CA10" s="91">
        <v>45372</v>
      </c>
      <c r="CB10" s="91" t="s">
        <v>232</v>
      </c>
      <c r="CC10" s="91">
        <v>45376</v>
      </c>
      <c r="CD10" s="91">
        <v>45378</v>
      </c>
      <c r="CE10" s="91">
        <v>45483</v>
      </c>
      <c r="CF10" s="91">
        <v>45524</v>
      </c>
      <c r="CG10" s="91">
        <v>45532</v>
      </c>
      <c r="CH10" s="91">
        <v>45540</v>
      </c>
      <c r="CI10" s="91">
        <v>46049</v>
      </c>
      <c r="CJ10" s="91">
        <v>45559</v>
      </c>
      <c r="CK10" s="91" t="s">
        <v>232</v>
      </c>
      <c r="CL10" s="11" t="s">
        <v>232</v>
      </c>
      <c r="CM10" s="91" t="s">
        <v>232</v>
      </c>
      <c r="CN10" s="91">
        <v>45639</v>
      </c>
      <c r="CO10" s="91">
        <v>45702</v>
      </c>
      <c r="CP10" s="91" t="s">
        <v>232</v>
      </c>
      <c r="CQ10" s="10">
        <v>45746</v>
      </c>
      <c r="CR10" s="10" t="s">
        <v>232</v>
      </c>
      <c r="CS10" s="10" t="s">
        <v>232</v>
      </c>
      <c r="CT10" s="10" t="s">
        <v>232</v>
      </c>
      <c r="CU10" s="11" t="s">
        <v>232</v>
      </c>
      <c r="CV10" s="11"/>
      <c r="CW10" s="11" t="s">
        <v>232</v>
      </c>
      <c r="CX10" s="11" t="s">
        <v>232</v>
      </c>
      <c r="CY10" s="11"/>
      <c r="CZ10" s="11"/>
    </row>
    <row r="11" spans="1:104" ht="50.25" customHeight="1">
      <c r="B11" s="331">
        <v>7</v>
      </c>
      <c r="C11" s="321" t="s">
        <v>254</v>
      </c>
      <c r="D11" s="376" t="s">
        <v>255</v>
      </c>
      <c r="E11" s="376" t="s">
        <v>256</v>
      </c>
      <c r="F11" s="377" t="s">
        <v>257</v>
      </c>
      <c r="G11" s="441" t="s">
        <v>232</v>
      </c>
      <c r="H11" s="91">
        <v>46062</v>
      </c>
      <c r="I11" s="91">
        <f t="shared" si="0"/>
        <v>46791</v>
      </c>
      <c r="J11" s="91">
        <v>46028</v>
      </c>
      <c r="K11" s="91">
        <f t="shared" si="1"/>
        <v>46757</v>
      </c>
      <c r="L11" s="319">
        <v>45481</v>
      </c>
      <c r="M11" s="380">
        <f t="shared" si="2"/>
        <v>46210</v>
      </c>
      <c r="N11" s="91">
        <v>45426</v>
      </c>
      <c r="O11" s="380">
        <f t="shared" si="15"/>
        <v>46155</v>
      </c>
      <c r="P11" s="91">
        <v>45426</v>
      </c>
      <c r="Q11" s="91">
        <f t="shared" si="16"/>
        <v>46155</v>
      </c>
      <c r="R11" s="91">
        <v>45433</v>
      </c>
      <c r="S11" s="380">
        <f t="shared" si="11"/>
        <v>46163</v>
      </c>
      <c r="T11" s="91">
        <v>45611</v>
      </c>
      <c r="U11" s="380">
        <f t="shared" si="12"/>
        <v>46340</v>
      </c>
      <c r="V11" s="319">
        <v>45615</v>
      </c>
      <c r="W11" s="380">
        <f t="shared" si="13"/>
        <v>46344</v>
      </c>
      <c r="X11" s="319">
        <v>45604</v>
      </c>
      <c r="Y11" s="380">
        <f>IF(ISBLANK(X11),"",EDATE(X11,24))</f>
        <v>46334</v>
      </c>
      <c r="Z11" s="319">
        <v>45779</v>
      </c>
      <c r="AA11" s="91">
        <f>IF(ISBLANK(Z11),"",EDATE(Z11,24))-1</f>
        <v>46508</v>
      </c>
      <c r="AB11" s="319">
        <v>45819</v>
      </c>
      <c r="AC11" s="91">
        <f>IF(ISBLANK(AB11),"",EDATE(AB11,24))-1</f>
        <v>46548</v>
      </c>
      <c r="AD11" s="319">
        <v>45795</v>
      </c>
      <c r="AE11" s="91">
        <f t="shared" si="14"/>
        <v>46524</v>
      </c>
      <c r="AF11" s="387">
        <v>46065</v>
      </c>
      <c r="AG11" s="91">
        <f t="shared" si="3"/>
        <v>46794</v>
      </c>
      <c r="AH11" s="91">
        <v>45388</v>
      </c>
      <c r="AI11" s="380">
        <f t="shared" si="4"/>
        <v>46117</v>
      </c>
      <c r="AJ11" s="91">
        <v>46063</v>
      </c>
      <c r="AK11" s="91">
        <f t="shared" si="5"/>
        <v>46792</v>
      </c>
      <c r="AL11" s="91">
        <v>46069</v>
      </c>
      <c r="AM11" s="91">
        <f t="shared" si="6"/>
        <v>46433</v>
      </c>
      <c r="AN11" s="91">
        <v>46032</v>
      </c>
      <c r="AO11" s="91">
        <f t="shared" si="7"/>
        <v>46761</v>
      </c>
      <c r="AP11" s="91">
        <v>45709</v>
      </c>
      <c r="AQ11" s="91">
        <f t="shared" si="8"/>
        <v>46438</v>
      </c>
      <c r="AR11" s="91">
        <v>45784</v>
      </c>
      <c r="AS11" s="91">
        <f t="shared" si="9"/>
        <v>46513</v>
      </c>
      <c r="AT11" s="317" t="s">
        <v>232</v>
      </c>
      <c r="AU11" s="317" t="s">
        <v>232</v>
      </c>
      <c r="AV11" s="317" t="s">
        <v>232</v>
      </c>
      <c r="AW11" s="317" t="s">
        <v>232</v>
      </c>
      <c r="AX11" s="317" t="s">
        <v>232</v>
      </c>
      <c r="AY11" s="317" t="s">
        <v>232</v>
      </c>
      <c r="AZ11" s="317" t="s">
        <v>232</v>
      </c>
      <c r="BA11" s="317" t="s">
        <v>232</v>
      </c>
      <c r="BB11" s="317" t="s">
        <v>232</v>
      </c>
      <c r="BC11" s="317" t="s">
        <v>232</v>
      </c>
      <c r="BD11" s="317" t="s">
        <v>232</v>
      </c>
      <c r="BE11" s="317" t="s">
        <v>232</v>
      </c>
      <c r="BF11" s="317" t="s">
        <v>232</v>
      </c>
      <c r="BG11" s="317" t="s">
        <v>232</v>
      </c>
      <c r="BH11" s="317" t="s">
        <v>232</v>
      </c>
      <c r="BI11" s="317" t="s">
        <v>232</v>
      </c>
      <c r="BJ11" s="317" t="s">
        <v>232</v>
      </c>
      <c r="BK11" s="317" t="s">
        <v>232</v>
      </c>
      <c r="BL11" s="91">
        <v>45575</v>
      </c>
      <c r="BM11" s="380">
        <f t="shared" si="10"/>
        <v>46304</v>
      </c>
      <c r="BN11" s="91" t="s">
        <v>232</v>
      </c>
      <c r="BO11" s="317" t="s">
        <v>232</v>
      </c>
      <c r="BP11" s="317" t="s">
        <v>232</v>
      </c>
      <c r="BQ11" s="91">
        <v>43126</v>
      </c>
      <c r="BR11" s="91">
        <v>45393</v>
      </c>
      <c r="BS11" s="91">
        <v>44060</v>
      </c>
      <c r="BT11" s="91" t="s">
        <v>232</v>
      </c>
      <c r="BU11" s="91">
        <v>45466</v>
      </c>
      <c r="BV11" s="91">
        <v>45477</v>
      </c>
      <c r="BW11" s="91">
        <v>45465</v>
      </c>
      <c r="BX11" s="91">
        <v>45910</v>
      </c>
      <c r="BY11" s="91">
        <v>45459</v>
      </c>
      <c r="BZ11" s="91">
        <v>45474</v>
      </c>
      <c r="CA11" s="91">
        <v>45480</v>
      </c>
      <c r="CB11" s="91" t="s">
        <v>232</v>
      </c>
      <c r="CC11" s="91">
        <v>45480</v>
      </c>
      <c r="CD11" s="91">
        <v>45476</v>
      </c>
      <c r="CE11" s="91">
        <v>45483</v>
      </c>
      <c r="CF11" s="91">
        <v>45524</v>
      </c>
      <c r="CG11" s="91">
        <v>45532</v>
      </c>
      <c r="CH11" s="91">
        <v>45540</v>
      </c>
      <c r="CI11" s="91">
        <v>45548</v>
      </c>
      <c r="CJ11" s="91">
        <v>45559</v>
      </c>
      <c r="CK11" s="91" t="s">
        <v>232</v>
      </c>
      <c r="CL11" s="427" t="s">
        <v>232</v>
      </c>
      <c r="CM11" s="91">
        <v>45609</v>
      </c>
      <c r="CN11" s="91">
        <v>45639</v>
      </c>
      <c r="CO11" s="91">
        <v>45699</v>
      </c>
      <c r="CP11" s="91" t="s">
        <v>232</v>
      </c>
      <c r="CQ11" s="10">
        <v>45757</v>
      </c>
      <c r="CR11" s="10" t="s">
        <v>232</v>
      </c>
      <c r="CS11" s="10" t="s">
        <v>232</v>
      </c>
      <c r="CT11" s="10" t="s">
        <v>232</v>
      </c>
      <c r="CU11" s="10">
        <v>45931</v>
      </c>
      <c r="CV11" s="10"/>
      <c r="CW11" s="11" t="s">
        <v>232</v>
      </c>
      <c r="CX11" s="10">
        <v>45904</v>
      </c>
      <c r="CY11" s="10">
        <v>45953</v>
      </c>
      <c r="CZ11" s="11"/>
    </row>
    <row r="12" spans="1:104" ht="50.25" customHeight="1">
      <c r="B12" s="331">
        <v>8</v>
      </c>
      <c r="C12" s="263" t="s">
        <v>258</v>
      </c>
      <c r="D12" s="376" t="s">
        <v>259</v>
      </c>
      <c r="E12" s="376" t="s">
        <v>260</v>
      </c>
      <c r="F12" s="377" t="s">
        <v>253</v>
      </c>
      <c r="G12" s="441" t="s">
        <v>232</v>
      </c>
      <c r="H12" s="319">
        <v>45393</v>
      </c>
      <c r="I12" s="91">
        <f t="shared" si="0"/>
        <v>46122</v>
      </c>
      <c r="J12" s="91">
        <v>46028</v>
      </c>
      <c r="K12" s="91">
        <f t="shared" si="1"/>
        <v>46757</v>
      </c>
      <c r="L12" s="319">
        <v>46058</v>
      </c>
      <c r="M12" s="91">
        <f t="shared" si="2"/>
        <v>46787</v>
      </c>
      <c r="N12" s="91">
        <v>45426</v>
      </c>
      <c r="O12" s="380">
        <f t="shared" si="15"/>
        <v>46155</v>
      </c>
      <c r="P12" s="91">
        <v>45426</v>
      </c>
      <c r="Q12" s="91">
        <f t="shared" si="16"/>
        <v>46155</v>
      </c>
      <c r="R12" s="91">
        <v>45433</v>
      </c>
      <c r="S12" s="380">
        <f t="shared" si="11"/>
        <v>46163</v>
      </c>
      <c r="T12" s="91">
        <v>45611</v>
      </c>
      <c r="U12" s="380">
        <f t="shared" si="12"/>
        <v>46340</v>
      </c>
      <c r="V12" s="91">
        <v>45695</v>
      </c>
      <c r="W12" s="91">
        <f t="shared" si="13"/>
        <v>46424</v>
      </c>
      <c r="X12" s="91">
        <v>45685</v>
      </c>
      <c r="Y12" s="91">
        <f t="shared" ref="Y12:Y19" si="17">IF(ISBLANK(X12),"",EDATE(X12,24))-1</f>
        <v>46414</v>
      </c>
      <c r="Z12" s="319">
        <v>45779</v>
      </c>
      <c r="AA12" s="91">
        <f>IF(ISBLANK(Z12),"",EDATE(Z12,24))-1</f>
        <v>46508</v>
      </c>
      <c r="AB12" s="317" t="s">
        <v>232</v>
      </c>
      <c r="AC12" s="317" t="s">
        <v>232</v>
      </c>
      <c r="AD12" s="319">
        <v>45795</v>
      </c>
      <c r="AE12" s="91">
        <f t="shared" si="14"/>
        <v>46524</v>
      </c>
      <c r="AF12" s="387">
        <v>46065</v>
      </c>
      <c r="AG12" s="91">
        <f t="shared" si="3"/>
        <v>46794</v>
      </c>
      <c r="AH12" s="91">
        <v>46056</v>
      </c>
      <c r="AI12" s="91">
        <f t="shared" si="4"/>
        <v>46785</v>
      </c>
      <c r="AJ12" s="91">
        <v>46063</v>
      </c>
      <c r="AK12" s="91">
        <f t="shared" si="5"/>
        <v>46792</v>
      </c>
      <c r="AL12" s="91">
        <v>46069</v>
      </c>
      <c r="AM12" s="91">
        <f t="shared" si="6"/>
        <v>46433</v>
      </c>
      <c r="AN12" s="91">
        <v>45708</v>
      </c>
      <c r="AO12" s="91">
        <f t="shared" si="7"/>
        <v>46437</v>
      </c>
      <c r="AP12" s="91">
        <v>45709</v>
      </c>
      <c r="AQ12" s="91">
        <f t="shared" si="8"/>
        <v>46438</v>
      </c>
      <c r="AR12" s="91">
        <v>45784</v>
      </c>
      <c r="AS12" s="91">
        <f t="shared" si="9"/>
        <v>46513</v>
      </c>
      <c r="AT12" s="317" t="s">
        <v>232</v>
      </c>
      <c r="AU12" s="317" t="s">
        <v>232</v>
      </c>
      <c r="AV12" s="317" t="s">
        <v>232</v>
      </c>
      <c r="AW12" s="317" t="s">
        <v>232</v>
      </c>
      <c r="AX12" s="317" t="s">
        <v>232</v>
      </c>
      <c r="AY12" s="317" t="s">
        <v>232</v>
      </c>
      <c r="AZ12" s="317" t="s">
        <v>232</v>
      </c>
      <c r="BA12" s="317" t="s">
        <v>232</v>
      </c>
      <c r="BB12" s="317" t="s">
        <v>232</v>
      </c>
      <c r="BC12" s="317" t="s">
        <v>232</v>
      </c>
      <c r="BD12" s="317" t="s">
        <v>232</v>
      </c>
      <c r="BE12" s="317" t="s">
        <v>232</v>
      </c>
      <c r="BF12" s="317" t="s">
        <v>232</v>
      </c>
      <c r="BG12" s="317" t="s">
        <v>232</v>
      </c>
      <c r="BH12" s="317" t="s">
        <v>232</v>
      </c>
      <c r="BI12" s="317" t="s">
        <v>232</v>
      </c>
      <c r="BJ12" s="317" t="s">
        <v>232</v>
      </c>
      <c r="BK12" s="317" t="s">
        <v>232</v>
      </c>
      <c r="BL12" s="91">
        <v>45793</v>
      </c>
      <c r="BM12" s="91">
        <f t="shared" si="10"/>
        <v>46522</v>
      </c>
      <c r="BN12" s="317" t="s">
        <v>232</v>
      </c>
      <c r="BO12" s="317" t="s">
        <v>232</v>
      </c>
      <c r="BP12" s="317" t="s">
        <v>232</v>
      </c>
      <c r="BQ12" s="317" t="s">
        <v>232</v>
      </c>
      <c r="BR12" s="317" t="s">
        <v>232</v>
      </c>
      <c r="BS12" s="317" t="s">
        <v>232</v>
      </c>
      <c r="BT12" s="317" t="s">
        <v>232</v>
      </c>
      <c r="BU12" s="91">
        <v>45392</v>
      </c>
      <c r="BV12" s="91">
        <v>45477</v>
      </c>
      <c r="BW12" s="91">
        <v>45391</v>
      </c>
      <c r="BX12" s="91">
        <v>45399</v>
      </c>
      <c r="BY12" s="91">
        <v>45402</v>
      </c>
      <c r="BZ12" s="91">
        <v>45474</v>
      </c>
      <c r="CA12" s="91">
        <v>45480</v>
      </c>
      <c r="CB12" s="91" t="s">
        <v>232</v>
      </c>
      <c r="CC12" s="91">
        <v>45480</v>
      </c>
      <c r="CD12" s="91">
        <v>45476</v>
      </c>
      <c r="CE12" s="91">
        <v>45483</v>
      </c>
      <c r="CF12" s="91">
        <v>45526</v>
      </c>
      <c r="CG12" s="91">
        <v>45532</v>
      </c>
      <c r="CH12" s="91">
        <v>45540</v>
      </c>
      <c r="CI12" s="91">
        <v>45548</v>
      </c>
      <c r="CJ12" s="91">
        <v>45559</v>
      </c>
      <c r="CK12" s="91" t="s">
        <v>232</v>
      </c>
      <c r="CL12" s="11" t="s">
        <v>232</v>
      </c>
      <c r="CM12" s="91" t="s">
        <v>232</v>
      </c>
      <c r="CN12" s="91">
        <v>45639</v>
      </c>
      <c r="CO12" s="91">
        <v>45699</v>
      </c>
      <c r="CP12" s="91" t="s">
        <v>232</v>
      </c>
      <c r="CQ12" s="10">
        <v>45746</v>
      </c>
      <c r="CR12" s="10" t="s">
        <v>232</v>
      </c>
      <c r="CS12" s="10" t="s">
        <v>232</v>
      </c>
      <c r="CT12" s="10" t="s">
        <v>232</v>
      </c>
      <c r="CU12" s="11" t="s">
        <v>232</v>
      </c>
      <c r="CV12" s="11"/>
      <c r="CW12" s="11" t="s">
        <v>232</v>
      </c>
      <c r="CX12" s="11" t="s">
        <v>232</v>
      </c>
      <c r="CY12" s="11"/>
      <c r="CZ12" s="11"/>
    </row>
    <row r="13" spans="1:104" ht="50.25" customHeight="1">
      <c r="B13" s="331">
        <v>9</v>
      </c>
      <c r="C13" s="263" t="s">
        <v>261</v>
      </c>
      <c r="D13" s="376" t="s">
        <v>262</v>
      </c>
      <c r="E13" s="376" t="s">
        <v>263</v>
      </c>
      <c r="F13" s="377" t="s">
        <v>253</v>
      </c>
      <c r="G13" s="441" t="s">
        <v>232</v>
      </c>
      <c r="H13" s="319">
        <v>46062</v>
      </c>
      <c r="I13" s="91">
        <f t="shared" si="0"/>
        <v>46791</v>
      </c>
      <c r="J13" s="91">
        <v>46028</v>
      </c>
      <c r="K13" s="91">
        <f t="shared" si="1"/>
        <v>46757</v>
      </c>
      <c r="L13" s="319">
        <v>46058</v>
      </c>
      <c r="M13" s="91">
        <f t="shared" si="2"/>
        <v>46787</v>
      </c>
      <c r="N13" s="91">
        <v>45426</v>
      </c>
      <c r="O13" s="380">
        <f t="shared" si="15"/>
        <v>46155</v>
      </c>
      <c r="P13" s="91">
        <v>45426</v>
      </c>
      <c r="Q13" s="91">
        <f t="shared" si="16"/>
        <v>46155</v>
      </c>
      <c r="R13" s="91">
        <v>45433</v>
      </c>
      <c r="S13" s="380">
        <f t="shared" si="11"/>
        <v>46163</v>
      </c>
      <c r="T13" s="91">
        <v>45611</v>
      </c>
      <c r="U13" s="380">
        <f t="shared" si="12"/>
        <v>46340</v>
      </c>
      <c r="V13" s="91">
        <v>45695</v>
      </c>
      <c r="W13" s="91">
        <f t="shared" si="13"/>
        <v>46424</v>
      </c>
      <c r="X13" s="91">
        <v>45685</v>
      </c>
      <c r="Y13" s="91">
        <f t="shared" si="17"/>
        <v>46414</v>
      </c>
      <c r="Z13" s="317" t="s">
        <v>232</v>
      </c>
      <c r="AA13" s="317" t="s">
        <v>232</v>
      </c>
      <c r="AB13" s="317" t="s">
        <v>232</v>
      </c>
      <c r="AC13" s="317" t="s">
        <v>232</v>
      </c>
      <c r="AD13" s="319">
        <v>45795</v>
      </c>
      <c r="AE13" s="91">
        <f t="shared" si="14"/>
        <v>46524</v>
      </c>
      <c r="AF13" s="387">
        <v>46065</v>
      </c>
      <c r="AG13" s="91">
        <f t="shared" si="3"/>
        <v>46794</v>
      </c>
      <c r="AH13" s="91">
        <v>46056</v>
      </c>
      <c r="AI13" s="91">
        <f t="shared" si="4"/>
        <v>46785</v>
      </c>
      <c r="AJ13" s="91">
        <v>45401</v>
      </c>
      <c r="AK13" s="380">
        <f t="shared" si="5"/>
        <v>46130</v>
      </c>
      <c r="AL13" s="91">
        <v>46069</v>
      </c>
      <c r="AM13" s="91">
        <f t="shared" si="6"/>
        <v>46433</v>
      </c>
      <c r="AN13" s="91">
        <v>45708</v>
      </c>
      <c r="AO13" s="91">
        <f t="shared" si="7"/>
        <v>46437</v>
      </c>
      <c r="AP13" s="91">
        <v>45709</v>
      </c>
      <c r="AQ13" s="91">
        <f t="shared" si="8"/>
        <v>46438</v>
      </c>
      <c r="AR13" s="91">
        <v>45784</v>
      </c>
      <c r="AS13" s="91">
        <f t="shared" si="9"/>
        <v>46513</v>
      </c>
      <c r="AT13" s="317" t="s">
        <v>232</v>
      </c>
      <c r="AU13" s="317" t="s">
        <v>232</v>
      </c>
      <c r="AV13" s="317" t="s">
        <v>232</v>
      </c>
      <c r="AW13" s="317" t="s">
        <v>232</v>
      </c>
      <c r="AX13" s="317" t="s">
        <v>232</v>
      </c>
      <c r="AY13" s="317" t="s">
        <v>232</v>
      </c>
      <c r="AZ13" s="317" t="s">
        <v>232</v>
      </c>
      <c r="BA13" s="317" t="s">
        <v>232</v>
      </c>
      <c r="BB13" s="317" t="s">
        <v>232</v>
      </c>
      <c r="BC13" s="317" t="s">
        <v>232</v>
      </c>
      <c r="BD13" s="317" t="s">
        <v>232</v>
      </c>
      <c r="BE13" s="317" t="s">
        <v>232</v>
      </c>
      <c r="BF13" s="317" t="s">
        <v>232</v>
      </c>
      <c r="BG13" s="317" t="s">
        <v>232</v>
      </c>
      <c r="BH13" s="317" t="s">
        <v>232</v>
      </c>
      <c r="BI13" s="317" t="s">
        <v>232</v>
      </c>
      <c r="BJ13" s="317" t="s">
        <v>232</v>
      </c>
      <c r="BK13" s="317" t="s">
        <v>232</v>
      </c>
      <c r="BL13" s="91">
        <v>45456</v>
      </c>
      <c r="BM13" s="380">
        <f t="shared" si="10"/>
        <v>46185</v>
      </c>
      <c r="BN13" s="317" t="s">
        <v>232</v>
      </c>
      <c r="BO13" s="317" t="s">
        <v>232</v>
      </c>
      <c r="BP13" s="317" t="s">
        <v>232</v>
      </c>
      <c r="BQ13" s="317" t="s">
        <v>232</v>
      </c>
      <c r="BR13" s="317" t="s">
        <v>232</v>
      </c>
      <c r="BS13" s="317" t="s">
        <v>232</v>
      </c>
      <c r="BT13" s="317" t="s">
        <v>232</v>
      </c>
      <c r="BU13" s="91">
        <v>45392</v>
      </c>
      <c r="BV13" s="91">
        <v>45477</v>
      </c>
      <c r="BW13" s="91">
        <v>45391</v>
      </c>
      <c r="BX13" s="91">
        <v>45399</v>
      </c>
      <c r="BY13" s="91">
        <v>45402</v>
      </c>
      <c r="BZ13" s="91">
        <v>45474</v>
      </c>
      <c r="CA13" s="91">
        <v>45480</v>
      </c>
      <c r="CB13" s="91" t="s">
        <v>232</v>
      </c>
      <c r="CC13" s="91">
        <v>45480</v>
      </c>
      <c r="CD13" s="91">
        <v>45476</v>
      </c>
      <c r="CE13" s="91">
        <v>45483</v>
      </c>
      <c r="CF13" s="91">
        <v>45526</v>
      </c>
      <c r="CG13" s="91">
        <v>45532</v>
      </c>
      <c r="CH13" s="91">
        <v>45540</v>
      </c>
      <c r="CI13" s="91">
        <v>45548</v>
      </c>
      <c r="CJ13" s="91">
        <v>45559</v>
      </c>
      <c r="CK13" s="91" t="s">
        <v>232</v>
      </c>
      <c r="CL13" s="11" t="s">
        <v>232</v>
      </c>
      <c r="CM13" s="91" t="s">
        <v>232</v>
      </c>
      <c r="CN13" s="91">
        <v>45639</v>
      </c>
      <c r="CO13" s="91">
        <v>45699</v>
      </c>
      <c r="CP13" s="91" t="s">
        <v>232</v>
      </c>
      <c r="CQ13" s="10">
        <v>45743</v>
      </c>
      <c r="CR13" s="10" t="s">
        <v>232</v>
      </c>
      <c r="CS13" s="10" t="s">
        <v>232</v>
      </c>
      <c r="CT13" s="10" t="s">
        <v>232</v>
      </c>
      <c r="CU13" s="11" t="s">
        <v>232</v>
      </c>
      <c r="CV13" s="11">
        <v>46070</v>
      </c>
      <c r="CW13" s="11" t="s">
        <v>232</v>
      </c>
      <c r="CX13" s="11" t="s">
        <v>232</v>
      </c>
      <c r="CY13" s="11"/>
      <c r="CZ13" s="11"/>
    </row>
    <row r="14" spans="1:104" s="89" customFormat="1" ht="50.25" customHeight="1">
      <c r="B14" s="331">
        <v>10</v>
      </c>
      <c r="C14" s="263" t="s">
        <v>264</v>
      </c>
      <c r="D14" s="376" t="s">
        <v>265</v>
      </c>
      <c r="E14" s="376" t="s">
        <v>266</v>
      </c>
      <c r="F14" s="377" t="s">
        <v>267</v>
      </c>
      <c r="G14" s="439" t="s">
        <v>268</v>
      </c>
      <c r="H14" s="319">
        <v>46062</v>
      </c>
      <c r="I14" s="91">
        <f t="shared" si="0"/>
        <v>46791</v>
      </c>
      <c r="J14" s="91">
        <v>46028</v>
      </c>
      <c r="K14" s="91">
        <f t="shared" si="1"/>
        <v>46757</v>
      </c>
      <c r="L14" s="319">
        <v>46058</v>
      </c>
      <c r="M14" s="91">
        <f t="shared" si="2"/>
        <v>46787</v>
      </c>
      <c r="N14" s="91">
        <v>45426</v>
      </c>
      <c r="O14" s="380">
        <f t="shared" si="15"/>
        <v>46155</v>
      </c>
      <c r="P14" s="91">
        <v>45426</v>
      </c>
      <c r="Q14" s="91">
        <f t="shared" si="16"/>
        <v>46155</v>
      </c>
      <c r="R14" s="91">
        <v>45433</v>
      </c>
      <c r="S14" s="380">
        <f t="shared" si="11"/>
        <v>46163</v>
      </c>
      <c r="T14" s="91">
        <v>45611</v>
      </c>
      <c r="U14" s="380">
        <f t="shared" si="12"/>
        <v>46340</v>
      </c>
      <c r="V14" s="319">
        <v>45615</v>
      </c>
      <c r="W14" s="380">
        <f t="shared" si="13"/>
        <v>46344</v>
      </c>
      <c r="X14" s="319">
        <v>45604</v>
      </c>
      <c r="Y14" s="380">
        <f t="shared" si="17"/>
        <v>46333</v>
      </c>
      <c r="Z14" s="317" t="s">
        <v>232</v>
      </c>
      <c r="AA14" s="317" t="s">
        <v>232</v>
      </c>
      <c r="AB14" s="317" t="s">
        <v>232</v>
      </c>
      <c r="AC14" s="317" t="s">
        <v>232</v>
      </c>
      <c r="AD14" s="319">
        <v>45795</v>
      </c>
      <c r="AE14" s="91">
        <f t="shared" si="14"/>
        <v>46524</v>
      </c>
      <c r="AF14" s="387">
        <v>46065</v>
      </c>
      <c r="AG14" s="91">
        <f t="shared" si="3"/>
        <v>46794</v>
      </c>
      <c r="AH14" s="91">
        <v>46056</v>
      </c>
      <c r="AI14" s="91">
        <f t="shared" si="4"/>
        <v>46785</v>
      </c>
      <c r="AJ14" s="91">
        <v>46063</v>
      </c>
      <c r="AK14" s="91">
        <f t="shared" si="5"/>
        <v>46792</v>
      </c>
      <c r="AL14" s="91">
        <v>46069</v>
      </c>
      <c r="AM14" s="91">
        <f t="shared" si="6"/>
        <v>46433</v>
      </c>
      <c r="AN14" s="91">
        <v>45708</v>
      </c>
      <c r="AO14" s="91">
        <f t="shared" si="7"/>
        <v>46437</v>
      </c>
      <c r="AP14" s="91">
        <v>45709</v>
      </c>
      <c r="AQ14" s="91">
        <f t="shared" si="8"/>
        <v>46438</v>
      </c>
      <c r="AR14" s="91">
        <v>45784</v>
      </c>
      <c r="AS14" s="91">
        <f t="shared" si="9"/>
        <v>46513</v>
      </c>
      <c r="AT14" s="91">
        <v>45782</v>
      </c>
      <c r="AU14" s="91">
        <f>IF(ISBLANK(AT14),"",EDATE(AT14,24))-1</f>
        <v>46511</v>
      </c>
      <c r="AV14" s="317" t="s">
        <v>232</v>
      </c>
      <c r="AW14" s="317" t="s">
        <v>232</v>
      </c>
      <c r="AX14" s="317" t="s">
        <v>232</v>
      </c>
      <c r="AY14" s="317" t="s">
        <v>232</v>
      </c>
      <c r="AZ14" s="317" t="s">
        <v>232</v>
      </c>
      <c r="BA14" s="317" t="s">
        <v>232</v>
      </c>
      <c r="BB14" s="317" t="s">
        <v>232</v>
      </c>
      <c r="BC14" s="317" t="s">
        <v>232</v>
      </c>
      <c r="BD14" s="317" t="s">
        <v>232</v>
      </c>
      <c r="BE14" s="317" t="s">
        <v>232</v>
      </c>
      <c r="BF14" s="317" t="s">
        <v>232</v>
      </c>
      <c r="BG14" s="317" t="s">
        <v>232</v>
      </c>
      <c r="BH14" s="317" t="s">
        <v>232</v>
      </c>
      <c r="BI14" s="317" t="s">
        <v>232</v>
      </c>
      <c r="BJ14" s="317" t="s">
        <v>232</v>
      </c>
      <c r="BK14" s="317" t="s">
        <v>232</v>
      </c>
      <c r="BL14" s="91">
        <v>45456</v>
      </c>
      <c r="BM14" s="380">
        <f t="shared" si="10"/>
        <v>46185</v>
      </c>
      <c r="BN14" s="317" t="s">
        <v>232</v>
      </c>
      <c r="BO14" s="317" t="s">
        <v>232</v>
      </c>
      <c r="BP14" s="317" t="s">
        <v>232</v>
      </c>
      <c r="BQ14" s="317" t="s">
        <v>232</v>
      </c>
      <c r="BR14" s="317" t="s">
        <v>232</v>
      </c>
      <c r="BS14" s="91">
        <v>42587</v>
      </c>
      <c r="BT14" s="317" t="s">
        <v>232</v>
      </c>
      <c r="BU14" s="91">
        <v>45392</v>
      </c>
      <c r="BV14" s="91">
        <v>45477</v>
      </c>
      <c r="BW14" s="91">
        <v>45391</v>
      </c>
      <c r="BX14" s="91">
        <v>45399</v>
      </c>
      <c r="BY14" s="91">
        <v>45402</v>
      </c>
      <c r="BZ14" s="91">
        <v>45474</v>
      </c>
      <c r="CA14" s="91">
        <v>45480</v>
      </c>
      <c r="CB14" s="91" t="s">
        <v>232</v>
      </c>
      <c r="CC14" s="91">
        <v>45480</v>
      </c>
      <c r="CD14" s="91">
        <v>45476</v>
      </c>
      <c r="CE14" s="91">
        <v>45483</v>
      </c>
      <c r="CF14" s="91">
        <v>45524</v>
      </c>
      <c r="CG14" s="91">
        <v>45532</v>
      </c>
      <c r="CH14" s="91">
        <v>45540</v>
      </c>
      <c r="CI14" s="91">
        <v>45548</v>
      </c>
      <c r="CJ14" s="91">
        <v>45559</v>
      </c>
      <c r="CK14" s="91" t="s">
        <v>232</v>
      </c>
      <c r="CL14" s="11" t="s">
        <v>232</v>
      </c>
      <c r="CM14" s="91" t="s">
        <v>232</v>
      </c>
      <c r="CN14" s="91">
        <v>45639</v>
      </c>
      <c r="CO14" s="91">
        <v>45700</v>
      </c>
      <c r="CP14" s="91" t="s">
        <v>232</v>
      </c>
      <c r="CQ14" s="10">
        <v>45746</v>
      </c>
      <c r="CR14" s="10" t="s">
        <v>232</v>
      </c>
      <c r="CS14" s="10" t="s">
        <v>232</v>
      </c>
      <c r="CT14" s="10" t="s">
        <v>232</v>
      </c>
      <c r="CU14" s="11" t="s">
        <v>232</v>
      </c>
      <c r="CV14" s="11"/>
      <c r="CW14" s="11" t="s">
        <v>232</v>
      </c>
      <c r="CX14" s="11" t="s">
        <v>232</v>
      </c>
      <c r="CY14" s="11"/>
      <c r="CZ14" s="11"/>
    </row>
    <row r="15" spans="1:104" ht="50.25" customHeight="1">
      <c r="B15" s="331">
        <v>11</v>
      </c>
      <c r="C15" s="263" t="s">
        <v>269</v>
      </c>
      <c r="D15" s="376" t="s">
        <v>270</v>
      </c>
      <c r="E15" s="376" t="s">
        <v>271</v>
      </c>
      <c r="F15" s="377" t="s">
        <v>253</v>
      </c>
      <c r="G15" s="441" t="s">
        <v>232</v>
      </c>
      <c r="H15" s="319">
        <v>46062</v>
      </c>
      <c r="I15" s="91">
        <f t="shared" si="0"/>
        <v>46791</v>
      </c>
      <c r="J15" s="91">
        <v>46028</v>
      </c>
      <c r="K15" s="91">
        <f t="shared" si="1"/>
        <v>46757</v>
      </c>
      <c r="L15" s="319">
        <v>46058</v>
      </c>
      <c r="M15" s="91">
        <f t="shared" si="2"/>
        <v>46787</v>
      </c>
      <c r="N15" s="91">
        <v>45426</v>
      </c>
      <c r="O15" s="380">
        <f t="shared" si="15"/>
        <v>46155</v>
      </c>
      <c r="P15" s="91">
        <v>45426</v>
      </c>
      <c r="Q15" s="91">
        <f t="shared" si="16"/>
        <v>46155</v>
      </c>
      <c r="R15" s="91">
        <v>45433</v>
      </c>
      <c r="S15" s="380">
        <f t="shared" si="11"/>
        <v>46163</v>
      </c>
      <c r="T15" s="317">
        <v>45825</v>
      </c>
      <c r="U15" s="91">
        <f t="shared" si="12"/>
        <v>46554</v>
      </c>
      <c r="V15" s="319">
        <v>45615</v>
      </c>
      <c r="W15" s="380">
        <f t="shared" si="13"/>
        <v>46344</v>
      </c>
      <c r="X15" s="319">
        <v>45604</v>
      </c>
      <c r="Y15" s="380">
        <f t="shared" si="17"/>
        <v>46333</v>
      </c>
      <c r="Z15" s="317" t="s">
        <v>232</v>
      </c>
      <c r="AA15" s="317" t="s">
        <v>232</v>
      </c>
      <c r="AB15" s="317" t="s">
        <v>232</v>
      </c>
      <c r="AC15" s="317" t="s">
        <v>232</v>
      </c>
      <c r="AD15" s="319">
        <v>45795</v>
      </c>
      <c r="AE15" s="91">
        <f t="shared" si="14"/>
        <v>46524</v>
      </c>
      <c r="AF15" s="387">
        <v>46065</v>
      </c>
      <c r="AG15" s="91">
        <f t="shared" si="3"/>
        <v>46794</v>
      </c>
      <c r="AH15" s="91">
        <v>46056</v>
      </c>
      <c r="AI15" s="91">
        <f t="shared" si="4"/>
        <v>46785</v>
      </c>
      <c r="AJ15" s="91">
        <v>46063</v>
      </c>
      <c r="AK15" s="91">
        <f t="shared" si="5"/>
        <v>46792</v>
      </c>
      <c r="AL15" s="91">
        <v>46069</v>
      </c>
      <c r="AM15" s="91">
        <f t="shared" si="6"/>
        <v>46433</v>
      </c>
      <c r="AN15" s="91">
        <v>45708</v>
      </c>
      <c r="AO15" s="91">
        <f t="shared" si="7"/>
        <v>46437</v>
      </c>
      <c r="AP15" s="91">
        <v>45709</v>
      </c>
      <c r="AQ15" s="91">
        <f t="shared" si="8"/>
        <v>46438</v>
      </c>
      <c r="AR15" s="91">
        <v>45784</v>
      </c>
      <c r="AS15" s="91">
        <f t="shared" si="9"/>
        <v>46513</v>
      </c>
      <c r="AT15" s="317" t="s">
        <v>232</v>
      </c>
      <c r="AU15" s="317" t="s">
        <v>232</v>
      </c>
      <c r="AV15" s="317" t="s">
        <v>232</v>
      </c>
      <c r="AW15" s="317" t="s">
        <v>232</v>
      </c>
      <c r="AX15" s="317" t="s">
        <v>232</v>
      </c>
      <c r="AY15" s="317" t="s">
        <v>232</v>
      </c>
      <c r="AZ15" s="317" t="s">
        <v>232</v>
      </c>
      <c r="BA15" s="317" t="s">
        <v>232</v>
      </c>
      <c r="BB15" s="317" t="s">
        <v>232</v>
      </c>
      <c r="BC15" s="317" t="s">
        <v>232</v>
      </c>
      <c r="BD15" s="317" t="s">
        <v>232</v>
      </c>
      <c r="BE15" s="317" t="s">
        <v>232</v>
      </c>
      <c r="BF15" s="317" t="s">
        <v>232</v>
      </c>
      <c r="BG15" s="317" t="s">
        <v>232</v>
      </c>
      <c r="BH15" s="317" t="s">
        <v>232</v>
      </c>
      <c r="BI15" s="317" t="s">
        <v>232</v>
      </c>
      <c r="BJ15" s="317" t="s">
        <v>232</v>
      </c>
      <c r="BK15" s="317" t="s">
        <v>232</v>
      </c>
      <c r="BL15" s="91">
        <v>45456</v>
      </c>
      <c r="BM15" s="380">
        <f t="shared" si="10"/>
        <v>46185</v>
      </c>
      <c r="BN15" s="317" t="s">
        <v>232</v>
      </c>
      <c r="BO15" s="317" t="s">
        <v>232</v>
      </c>
      <c r="BP15" s="317" t="s">
        <v>232</v>
      </c>
      <c r="BQ15" s="317" t="s">
        <v>232</v>
      </c>
      <c r="BR15" s="317" t="s">
        <v>232</v>
      </c>
      <c r="BS15" s="317" t="s">
        <v>232</v>
      </c>
      <c r="BT15" s="317" t="s">
        <v>232</v>
      </c>
      <c r="BU15" s="91">
        <v>45392</v>
      </c>
      <c r="BV15" s="91">
        <v>45477</v>
      </c>
      <c r="BW15" s="91">
        <v>45391</v>
      </c>
      <c r="BX15" s="91">
        <v>45399</v>
      </c>
      <c r="BY15" s="91">
        <v>45402</v>
      </c>
      <c r="BZ15" s="91">
        <v>45474</v>
      </c>
      <c r="CA15" s="91">
        <v>45480</v>
      </c>
      <c r="CB15" s="91" t="s">
        <v>232</v>
      </c>
      <c r="CC15" s="91">
        <v>45480</v>
      </c>
      <c r="CD15" s="91">
        <v>45476</v>
      </c>
      <c r="CE15" s="91">
        <v>45483</v>
      </c>
      <c r="CF15" s="91">
        <v>45526</v>
      </c>
      <c r="CG15" s="91">
        <v>45532</v>
      </c>
      <c r="CH15" s="91">
        <v>45540</v>
      </c>
      <c r="CI15" s="91">
        <v>45551</v>
      </c>
      <c r="CJ15" s="91">
        <v>45559</v>
      </c>
      <c r="CK15" s="91" t="s">
        <v>232</v>
      </c>
      <c r="CL15" s="11" t="s">
        <v>232</v>
      </c>
      <c r="CM15" s="91" t="s">
        <v>232</v>
      </c>
      <c r="CN15" s="91">
        <v>45639</v>
      </c>
      <c r="CO15" s="91">
        <v>45700</v>
      </c>
      <c r="CP15" s="91" t="s">
        <v>232</v>
      </c>
      <c r="CQ15" s="10">
        <v>45746</v>
      </c>
      <c r="CR15" s="10" t="s">
        <v>232</v>
      </c>
      <c r="CS15" s="10" t="s">
        <v>232</v>
      </c>
      <c r="CT15" s="10" t="s">
        <v>232</v>
      </c>
      <c r="CU15" s="11" t="s">
        <v>232</v>
      </c>
      <c r="CV15" s="11"/>
      <c r="CW15" s="11" t="s">
        <v>232</v>
      </c>
      <c r="CX15" s="11" t="s">
        <v>232</v>
      </c>
      <c r="CY15" s="11"/>
      <c r="CZ15" s="11"/>
    </row>
    <row r="16" spans="1:104" ht="50.25" customHeight="1">
      <c r="B16" s="331">
        <v>12</v>
      </c>
      <c r="C16" s="321" t="s">
        <v>75</v>
      </c>
      <c r="D16" s="376" t="s">
        <v>76</v>
      </c>
      <c r="E16" s="376" t="s">
        <v>272</v>
      </c>
      <c r="F16" s="377" t="s">
        <v>273</v>
      </c>
      <c r="G16" s="440" t="s">
        <v>232</v>
      </c>
      <c r="H16" s="319">
        <v>45450</v>
      </c>
      <c r="I16" s="380">
        <f t="shared" si="0"/>
        <v>46179</v>
      </c>
      <c r="J16" s="91">
        <v>46028</v>
      </c>
      <c r="K16" s="91">
        <f t="shared" si="1"/>
        <v>46757</v>
      </c>
      <c r="L16" s="319">
        <v>45481</v>
      </c>
      <c r="M16" s="380">
        <f t="shared" si="2"/>
        <v>46210</v>
      </c>
      <c r="N16" s="91">
        <v>45426</v>
      </c>
      <c r="O16" s="380">
        <f t="shared" si="15"/>
        <v>46155</v>
      </c>
      <c r="P16" s="91">
        <v>45426</v>
      </c>
      <c r="Q16" s="91">
        <f t="shared" si="16"/>
        <v>46155</v>
      </c>
      <c r="R16" s="91">
        <v>45433</v>
      </c>
      <c r="S16" s="380">
        <f t="shared" si="11"/>
        <v>46163</v>
      </c>
      <c r="T16" s="91">
        <v>45611</v>
      </c>
      <c r="U16" s="380">
        <f t="shared" si="12"/>
        <v>46340</v>
      </c>
      <c r="V16" s="319">
        <v>45615</v>
      </c>
      <c r="W16" s="380">
        <f t="shared" si="13"/>
        <v>46344</v>
      </c>
      <c r="X16" s="319">
        <v>45604</v>
      </c>
      <c r="Y16" s="380">
        <f t="shared" si="17"/>
        <v>46333</v>
      </c>
      <c r="Z16" s="319">
        <v>45779</v>
      </c>
      <c r="AA16" s="91">
        <f>IF(ISBLANK(Z16),"",EDATE(Z16,24))-1</f>
        <v>46508</v>
      </c>
      <c r="AB16" s="319">
        <v>45819</v>
      </c>
      <c r="AC16" s="91">
        <f>IF(ISBLANK(AB16),"",EDATE(AB16,24))</f>
        <v>46549</v>
      </c>
      <c r="AD16" s="319">
        <v>45795</v>
      </c>
      <c r="AE16" s="91">
        <f t="shared" si="14"/>
        <v>46524</v>
      </c>
      <c r="AF16" s="319">
        <v>45428</v>
      </c>
      <c r="AG16" s="380">
        <f t="shared" si="3"/>
        <v>46157</v>
      </c>
      <c r="AH16" s="91">
        <v>45460</v>
      </c>
      <c r="AI16" s="380">
        <f t="shared" si="4"/>
        <v>46189</v>
      </c>
      <c r="AJ16" s="91">
        <v>45462</v>
      </c>
      <c r="AK16" s="380">
        <f t="shared" si="5"/>
        <v>46191</v>
      </c>
      <c r="AL16" s="319">
        <v>45468</v>
      </c>
      <c r="AM16" s="380">
        <f>IF(ISBLANK(AL16),"",EDATE(AL16,24))-1</f>
        <v>46197</v>
      </c>
      <c r="AN16" s="91">
        <v>46032</v>
      </c>
      <c r="AO16" s="91">
        <f t="shared" si="7"/>
        <v>46761</v>
      </c>
      <c r="AP16" s="91">
        <v>45710</v>
      </c>
      <c r="AQ16" s="91">
        <f t="shared" si="8"/>
        <v>46439</v>
      </c>
      <c r="AR16" s="91">
        <v>45784</v>
      </c>
      <c r="AS16" s="91">
        <f t="shared" si="9"/>
        <v>46513</v>
      </c>
      <c r="AT16" s="317" t="s">
        <v>232</v>
      </c>
      <c r="AU16" s="317" t="s">
        <v>232</v>
      </c>
      <c r="AV16" s="317" t="s">
        <v>232</v>
      </c>
      <c r="AW16" s="317" t="s">
        <v>232</v>
      </c>
      <c r="AX16" s="317" t="s">
        <v>232</v>
      </c>
      <c r="AY16" s="317" t="s">
        <v>232</v>
      </c>
      <c r="AZ16" s="317" t="s">
        <v>232</v>
      </c>
      <c r="BA16" s="317" t="s">
        <v>232</v>
      </c>
      <c r="BB16" s="317" t="s">
        <v>232</v>
      </c>
      <c r="BC16" s="317" t="s">
        <v>232</v>
      </c>
      <c r="BD16" s="317" t="s">
        <v>232</v>
      </c>
      <c r="BE16" s="317" t="s">
        <v>232</v>
      </c>
      <c r="BF16" s="317" t="s">
        <v>232</v>
      </c>
      <c r="BG16" s="317" t="s">
        <v>232</v>
      </c>
      <c r="BH16" s="317" t="s">
        <v>232</v>
      </c>
      <c r="BI16" s="317" t="s">
        <v>232</v>
      </c>
      <c r="BJ16" s="317" t="s">
        <v>232</v>
      </c>
      <c r="BK16" s="317" t="s">
        <v>232</v>
      </c>
      <c r="BL16" s="91">
        <v>45456</v>
      </c>
      <c r="BM16" s="380">
        <f t="shared" si="10"/>
        <v>46185</v>
      </c>
      <c r="BN16" s="317" t="s">
        <v>232</v>
      </c>
      <c r="BO16" s="317" t="s">
        <v>232</v>
      </c>
      <c r="BP16" s="317" t="s">
        <v>232</v>
      </c>
      <c r="BQ16" s="319">
        <v>45233</v>
      </c>
      <c r="BR16" s="317" t="s">
        <v>232</v>
      </c>
      <c r="BS16" s="91">
        <v>43266</v>
      </c>
      <c r="BT16" s="317" t="s">
        <v>232</v>
      </c>
      <c r="BU16" s="91">
        <v>45466</v>
      </c>
      <c r="BV16" s="91">
        <v>45477</v>
      </c>
      <c r="BW16" s="91">
        <v>45465</v>
      </c>
      <c r="BX16" s="91">
        <v>45910</v>
      </c>
      <c r="BY16" s="91">
        <v>45459</v>
      </c>
      <c r="BZ16" s="91">
        <v>45474</v>
      </c>
      <c r="CA16" s="91">
        <v>45480</v>
      </c>
      <c r="CB16" s="91" t="s">
        <v>232</v>
      </c>
      <c r="CC16" s="91">
        <v>45480</v>
      </c>
      <c r="CD16" s="91">
        <v>45476</v>
      </c>
      <c r="CE16" s="91">
        <v>45483</v>
      </c>
      <c r="CF16" s="91">
        <v>45526</v>
      </c>
      <c r="CG16" s="91">
        <v>45532</v>
      </c>
      <c r="CH16" s="91">
        <v>45540</v>
      </c>
      <c r="CI16" s="91">
        <v>45548</v>
      </c>
      <c r="CJ16" s="91">
        <v>45559</v>
      </c>
      <c r="CK16" s="91" t="s">
        <v>232</v>
      </c>
      <c r="CL16" s="427" t="s">
        <v>232</v>
      </c>
      <c r="CM16" s="91">
        <v>45609</v>
      </c>
      <c r="CN16" s="91">
        <v>45639</v>
      </c>
      <c r="CO16" s="91">
        <v>45699</v>
      </c>
      <c r="CP16" s="91" t="s">
        <v>232</v>
      </c>
      <c r="CQ16" s="10">
        <v>45757</v>
      </c>
      <c r="CR16" s="10" t="s">
        <v>232</v>
      </c>
      <c r="CS16" s="10" t="s">
        <v>232</v>
      </c>
      <c r="CT16" s="10" t="s">
        <v>232</v>
      </c>
      <c r="CU16" s="11" t="s">
        <v>232</v>
      </c>
      <c r="CV16" s="11"/>
      <c r="CW16" s="11" t="s">
        <v>232</v>
      </c>
      <c r="CX16" s="10">
        <v>45914</v>
      </c>
      <c r="CY16" s="10">
        <v>45953</v>
      </c>
      <c r="CZ16" s="11"/>
    </row>
    <row r="17" spans="2:104" ht="48.75" customHeight="1">
      <c r="B17" s="331">
        <v>13</v>
      </c>
      <c r="C17" s="321" t="s">
        <v>77</v>
      </c>
      <c r="D17" s="376" t="s">
        <v>78</v>
      </c>
      <c r="E17" s="376" t="s">
        <v>274</v>
      </c>
      <c r="F17" s="377" t="s">
        <v>229</v>
      </c>
      <c r="G17" s="439" t="s">
        <v>230</v>
      </c>
      <c r="H17" s="319">
        <v>45450</v>
      </c>
      <c r="I17" s="380">
        <f t="shared" si="0"/>
        <v>46179</v>
      </c>
      <c r="J17" s="319">
        <v>45457</v>
      </c>
      <c r="K17" s="380">
        <f t="shared" si="1"/>
        <v>46186</v>
      </c>
      <c r="L17" s="319">
        <v>45481</v>
      </c>
      <c r="M17" s="380">
        <f t="shared" si="2"/>
        <v>46210</v>
      </c>
      <c r="N17" s="91" t="s">
        <v>231</v>
      </c>
      <c r="O17" s="91" t="s">
        <v>231</v>
      </c>
      <c r="P17" s="91" t="s">
        <v>231</v>
      </c>
      <c r="Q17" s="91" t="s">
        <v>231</v>
      </c>
      <c r="R17" s="91">
        <v>45433</v>
      </c>
      <c r="S17" s="380">
        <f t="shared" si="11"/>
        <v>46163</v>
      </c>
      <c r="T17" s="91">
        <v>45611</v>
      </c>
      <c r="U17" s="380">
        <f t="shared" si="12"/>
        <v>46340</v>
      </c>
      <c r="V17" s="91">
        <v>45695</v>
      </c>
      <c r="W17" s="91">
        <f t="shared" si="13"/>
        <v>46424</v>
      </c>
      <c r="X17" s="91">
        <v>45685</v>
      </c>
      <c r="Y17" s="91">
        <f t="shared" si="17"/>
        <v>46414</v>
      </c>
      <c r="Z17" s="317" t="s">
        <v>232</v>
      </c>
      <c r="AA17" s="317" t="s">
        <v>232</v>
      </c>
      <c r="AB17" s="317" t="s">
        <v>232</v>
      </c>
      <c r="AC17" s="317" t="s">
        <v>232</v>
      </c>
      <c r="AD17" s="319">
        <v>45795</v>
      </c>
      <c r="AE17" s="91">
        <f t="shared" si="14"/>
        <v>46524</v>
      </c>
      <c r="AF17" s="319">
        <v>45447</v>
      </c>
      <c r="AG17" s="380">
        <f t="shared" si="3"/>
        <v>46176</v>
      </c>
      <c r="AH17" s="91">
        <v>45460</v>
      </c>
      <c r="AI17" s="380">
        <f t="shared" si="4"/>
        <v>46189</v>
      </c>
      <c r="AJ17" s="91">
        <v>45462</v>
      </c>
      <c r="AK17" s="380">
        <f t="shared" si="5"/>
        <v>46191</v>
      </c>
      <c r="AL17" s="319">
        <v>45748</v>
      </c>
      <c r="AM17" s="380">
        <f t="shared" ref="AM17:AM23" si="18">IF(ISBLANK(AL17),"",EDATE(AL17,12))-1</f>
        <v>46112</v>
      </c>
      <c r="AN17" s="91">
        <v>46032</v>
      </c>
      <c r="AO17" s="91">
        <f t="shared" si="7"/>
        <v>46761</v>
      </c>
      <c r="AP17" s="91">
        <v>45709</v>
      </c>
      <c r="AQ17" s="91">
        <f t="shared" si="8"/>
        <v>46438</v>
      </c>
      <c r="AR17" s="91">
        <v>45784</v>
      </c>
      <c r="AS17" s="91">
        <f t="shared" si="9"/>
        <v>46513</v>
      </c>
      <c r="AT17" s="91">
        <v>45782</v>
      </c>
      <c r="AU17" s="91">
        <f>IF(ISBLANK(AT17),"",EDATE(AT17,24))-1</f>
        <v>46511</v>
      </c>
      <c r="AV17" s="91">
        <v>45782</v>
      </c>
      <c r="AW17" s="91">
        <f>IF(ISBLANK(AV17),"",EDATE(AV17,24))-1</f>
        <v>46511</v>
      </c>
      <c r="AX17" s="317" t="s">
        <v>232</v>
      </c>
      <c r="AY17" s="317" t="s">
        <v>232</v>
      </c>
      <c r="AZ17" s="317" t="s">
        <v>232</v>
      </c>
      <c r="BA17" s="317" t="s">
        <v>232</v>
      </c>
      <c r="BB17" s="317" t="s">
        <v>232</v>
      </c>
      <c r="BC17" s="317" t="s">
        <v>232</v>
      </c>
      <c r="BD17" s="317" t="s">
        <v>232</v>
      </c>
      <c r="BE17" s="317" t="s">
        <v>232</v>
      </c>
      <c r="BF17" s="317" t="s">
        <v>232</v>
      </c>
      <c r="BG17" s="317" t="s">
        <v>232</v>
      </c>
      <c r="BH17" s="317" t="s">
        <v>232</v>
      </c>
      <c r="BI17" s="317" t="s">
        <v>232</v>
      </c>
      <c r="BJ17" s="317" t="s">
        <v>232</v>
      </c>
      <c r="BK17" s="317" t="s">
        <v>232</v>
      </c>
      <c r="BL17" s="91">
        <v>45456</v>
      </c>
      <c r="BM17" s="380">
        <f t="shared" si="10"/>
        <v>46185</v>
      </c>
      <c r="BN17" s="317" t="s">
        <v>232</v>
      </c>
      <c r="BO17" s="317" t="s">
        <v>232</v>
      </c>
      <c r="BP17" s="317" t="s">
        <v>232</v>
      </c>
      <c r="BQ17" s="317" t="s">
        <v>232</v>
      </c>
      <c r="BR17" s="317" t="s">
        <v>232</v>
      </c>
      <c r="BS17" s="317" t="s">
        <v>232</v>
      </c>
      <c r="BT17" s="91">
        <v>42418</v>
      </c>
      <c r="BU17" s="91">
        <v>45466</v>
      </c>
      <c r="BV17" s="91">
        <v>45477</v>
      </c>
      <c r="BW17" s="91">
        <v>45465</v>
      </c>
      <c r="BX17" s="91">
        <v>45465</v>
      </c>
      <c r="BY17" s="91">
        <v>45459</v>
      </c>
      <c r="BZ17" s="91">
        <v>45474</v>
      </c>
      <c r="CA17" s="91">
        <v>45480</v>
      </c>
      <c r="CB17" s="91" t="s">
        <v>232</v>
      </c>
      <c r="CC17" s="91">
        <v>45480</v>
      </c>
      <c r="CD17" s="91">
        <v>45476</v>
      </c>
      <c r="CE17" s="91">
        <v>45483</v>
      </c>
      <c r="CF17" s="91">
        <v>45524</v>
      </c>
      <c r="CG17" s="91">
        <v>45532</v>
      </c>
      <c r="CH17" s="91">
        <v>45540</v>
      </c>
      <c r="CI17" s="91">
        <v>45548</v>
      </c>
      <c r="CJ17" s="91">
        <v>45559</v>
      </c>
      <c r="CK17" s="91">
        <v>45810</v>
      </c>
      <c r="CL17" s="428">
        <v>45981</v>
      </c>
      <c r="CM17" s="91" t="s">
        <v>232</v>
      </c>
      <c r="CN17" s="91">
        <v>45639</v>
      </c>
      <c r="CO17" s="91">
        <v>45701</v>
      </c>
      <c r="CP17" s="91" t="s">
        <v>232</v>
      </c>
      <c r="CQ17" s="10">
        <v>45746</v>
      </c>
      <c r="CR17" s="10" t="s">
        <v>232</v>
      </c>
      <c r="CS17" s="10" t="s">
        <v>232</v>
      </c>
      <c r="CT17" s="10" t="s">
        <v>232</v>
      </c>
      <c r="CU17" s="11" t="s">
        <v>232</v>
      </c>
      <c r="CV17" s="11"/>
      <c r="CW17" s="11" t="s">
        <v>232</v>
      </c>
      <c r="CX17" s="11" t="s">
        <v>232</v>
      </c>
      <c r="CY17" s="11"/>
      <c r="CZ17" s="10"/>
    </row>
    <row r="18" spans="2:104" ht="156.75" customHeight="1">
      <c r="B18" s="331">
        <v>14</v>
      </c>
      <c r="C18" s="321" t="s">
        <v>79</v>
      </c>
      <c r="D18" s="376" t="s">
        <v>80</v>
      </c>
      <c r="E18" s="376" t="s">
        <v>275</v>
      </c>
      <c r="F18" s="377" t="s">
        <v>239</v>
      </c>
      <c r="G18" s="440" t="s">
        <v>276</v>
      </c>
      <c r="H18" s="319">
        <v>45450</v>
      </c>
      <c r="I18" s="380">
        <f t="shared" si="0"/>
        <v>46179</v>
      </c>
      <c r="J18" s="319">
        <v>45457</v>
      </c>
      <c r="K18" s="380">
        <f t="shared" si="1"/>
        <v>46186</v>
      </c>
      <c r="L18" s="319">
        <v>45481</v>
      </c>
      <c r="M18" s="380">
        <f t="shared" si="2"/>
        <v>46210</v>
      </c>
      <c r="N18" s="319">
        <v>45454</v>
      </c>
      <c r="O18" s="380">
        <f>IF(ISBLANK(N18),"",EDATE(N18,24))-1</f>
        <v>46183</v>
      </c>
      <c r="P18" s="319">
        <v>45454</v>
      </c>
      <c r="Q18" s="91">
        <f>IF(ISBLANK(P18),"",EDATE(P18,24))-1</f>
        <v>46183</v>
      </c>
      <c r="R18" s="91" t="s">
        <v>231</v>
      </c>
      <c r="S18" s="91" t="s">
        <v>231</v>
      </c>
      <c r="T18" s="91">
        <v>45611</v>
      </c>
      <c r="U18" s="380">
        <f t="shared" si="12"/>
        <v>46340</v>
      </c>
      <c r="V18" s="317" t="s">
        <v>232</v>
      </c>
      <c r="W18" s="317" t="s">
        <v>232</v>
      </c>
      <c r="X18" s="319">
        <v>45604</v>
      </c>
      <c r="Y18" s="380">
        <f t="shared" si="17"/>
        <v>46333</v>
      </c>
      <c r="Z18" s="317" t="s">
        <v>232</v>
      </c>
      <c r="AA18" s="317" t="s">
        <v>232</v>
      </c>
      <c r="AB18" s="319">
        <v>45819</v>
      </c>
      <c r="AC18" s="91">
        <f>IF(ISBLANK(AB18),"",EDATE(AB18,24))</f>
        <v>46549</v>
      </c>
      <c r="AD18" s="317" t="s">
        <v>232</v>
      </c>
      <c r="AE18" s="317" t="s">
        <v>232</v>
      </c>
      <c r="AF18" s="319">
        <v>45447</v>
      </c>
      <c r="AG18" s="380">
        <f t="shared" si="3"/>
        <v>46176</v>
      </c>
      <c r="AH18" s="91">
        <v>45460</v>
      </c>
      <c r="AI18" s="380">
        <f t="shared" si="4"/>
        <v>46189</v>
      </c>
      <c r="AJ18" s="91">
        <v>45462</v>
      </c>
      <c r="AK18" s="380">
        <f t="shared" si="5"/>
        <v>46191</v>
      </c>
      <c r="AL18" s="319">
        <v>45748</v>
      </c>
      <c r="AM18" s="380">
        <f t="shared" si="18"/>
        <v>46112</v>
      </c>
      <c r="AN18" s="91">
        <v>46032</v>
      </c>
      <c r="AO18" s="91">
        <f t="shared" si="7"/>
        <v>46761</v>
      </c>
      <c r="AP18" s="91">
        <v>45709</v>
      </c>
      <c r="AQ18" s="91">
        <f t="shared" si="8"/>
        <v>46438</v>
      </c>
      <c r="AR18" s="91">
        <v>45784</v>
      </c>
      <c r="AS18" s="91">
        <f t="shared" si="9"/>
        <v>46513</v>
      </c>
      <c r="AT18" s="317" t="s">
        <v>232</v>
      </c>
      <c r="AU18" s="317" t="s">
        <v>232</v>
      </c>
      <c r="AV18" s="317" t="s">
        <v>232</v>
      </c>
      <c r="AW18" s="317" t="s">
        <v>232</v>
      </c>
      <c r="AX18" s="91">
        <v>45500</v>
      </c>
      <c r="AY18" s="380">
        <f>IF(ISBLANK(AX18),"",EDATE(AX18,24))-1</f>
        <v>46229</v>
      </c>
      <c r="AZ18" s="317" t="s">
        <v>232</v>
      </c>
      <c r="BA18" s="317" t="s">
        <v>232</v>
      </c>
      <c r="BB18" s="317" t="s">
        <v>232</v>
      </c>
      <c r="BC18" s="317" t="s">
        <v>232</v>
      </c>
      <c r="BD18" s="91">
        <v>45714</v>
      </c>
      <c r="BE18" s="91">
        <f>IF(ISBLANK(BD18),"",EDATE(BD18,24))-1</f>
        <v>46443</v>
      </c>
      <c r="BF18" s="317" t="s">
        <v>232</v>
      </c>
      <c r="BG18" s="317" t="s">
        <v>232</v>
      </c>
      <c r="BH18" s="317" t="s">
        <v>232</v>
      </c>
      <c r="BI18" s="317" t="s">
        <v>232</v>
      </c>
      <c r="BJ18" s="317" t="s">
        <v>232</v>
      </c>
      <c r="BK18" s="317" t="s">
        <v>232</v>
      </c>
      <c r="BL18" s="91">
        <v>45575</v>
      </c>
      <c r="BM18" s="380">
        <f t="shared" si="10"/>
        <v>46304</v>
      </c>
      <c r="BN18" s="91" t="s">
        <v>232</v>
      </c>
      <c r="BO18" s="91" t="s">
        <v>232</v>
      </c>
      <c r="BP18" s="91" t="s">
        <v>232</v>
      </c>
      <c r="BQ18" s="91" t="s">
        <v>232</v>
      </c>
      <c r="BR18" s="91" t="s">
        <v>232</v>
      </c>
      <c r="BS18" s="91" t="s">
        <v>232</v>
      </c>
      <c r="BT18" s="91" t="s">
        <v>232</v>
      </c>
      <c r="BU18" s="91">
        <v>45466</v>
      </c>
      <c r="BV18" s="91">
        <v>45477</v>
      </c>
      <c r="BW18" s="91">
        <v>45465</v>
      </c>
      <c r="BX18" s="91">
        <v>45465</v>
      </c>
      <c r="BY18" s="91">
        <v>45459</v>
      </c>
      <c r="BZ18" s="91">
        <v>45474</v>
      </c>
      <c r="CA18" s="91">
        <v>45480</v>
      </c>
      <c r="CB18" s="91" t="s">
        <v>232</v>
      </c>
      <c r="CC18" s="91">
        <v>45480</v>
      </c>
      <c r="CD18" s="91">
        <v>45476</v>
      </c>
      <c r="CE18" s="91">
        <v>45483</v>
      </c>
      <c r="CF18" s="91">
        <v>45526</v>
      </c>
      <c r="CG18" s="91">
        <v>45532</v>
      </c>
      <c r="CH18" s="91">
        <v>45540</v>
      </c>
      <c r="CI18" s="91">
        <v>45546</v>
      </c>
      <c r="CJ18" s="91">
        <v>45559</v>
      </c>
      <c r="CK18" s="91" t="s">
        <v>232</v>
      </c>
      <c r="CL18" s="427" t="s">
        <v>232</v>
      </c>
      <c r="CM18" s="91" t="s">
        <v>232</v>
      </c>
      <c r="CN18" s="91">
        <v>45639</v>
      </c>
      <c r="CO18" s="91">
        <v>45694</v>
      </c>
      <c r="CP18" s="91" t="s">
        <v>232</v>
      </c>
      <c r="CQ18" s="10">
        <v>45746</v>
      </c>
      <c r="CR18" s="10" t="s">
        <v>232</v>
      </c>
      <c r="CS18" s="10" t="s">
        <v>232</v>
      </c>
      <c r="CT18" s="10" t="s">
        <v>232</v>
      </c>
      <c r="CU18" s="11" t="s">
        <v>232</v>
      </c>
      <c r="CV18" s="11"/>
      <c r="CW18" s="11">
        <v>45807</v>
      </c>
      <c r="CX18" s="11" t="s">
        <v>232</v>
      </c>
      <c r="CY18" s="10">
        <v>45953</v>
      </c>
      <c r="CZ18" s="11"/>
    </row>
    <row r="19" spans="2:104" ht="50.25" customHeight="1">
      <c r="B19" s="331">
        <v>15</v>
      </c>
      <c r="C19" s="321" t="s">
        <v>277</v>
      </c>
      <c r="D19" s="376" t="s">
        <v>278</v>
      </c>
      <c r="E19" s="376" t="s">
        <v>279</v>
      </c>
      <c r="F19" s="377" t="s">
        <v>280</v>
      </c>
      <c r="G19" s="441" t="s">
        <v>232</v>
      </c>
      <c r="H19" s="319">
        <v>45450</v>
      </c>
      <c r="I19" s="380">
        <f t="shared" si="0"/>
        <v>46179</v>
      </c>
      <c r="J19" s="319">
        <v>45457</v>
      </c>
      <c r="K19" s="380">
        <f t="shared" si="1"/>
        <v>46186</v>
      </c>
      <c r="L19" s="319">
        <v>45481</v>
      </c>
      <c r="M19" s="380">
        <f t="shared" si="2"/>
        <v>46210</v>
      </c>
      <c r="N19" s="91">
        <v>45454</v>
      </c>
      <c r="O19" s="380">
        <f>IF(ISBLANK(N19),"",EDATE(N19,24))-1</f>
        <v>46183</v>
      </c>
      <c r="P19" s="91">
        <v>45454</v>
      </c>
      <c r="Q19" s="91">
        <f>IF(ISBLANK(P19),"",EDATE(P19,24))-1</f>
        <v>46183</v>
      </c>
      <c r="R19" s="319">
        <v>45449</v>
      </c>
      <c r="S19" s="380">
        <f>IF(ISBLANK(R19),"",EDATE(R19,24))</f>
        <v>46179</v>
      </c>
      <c r="T19" s="91">
        <v>45611</v>
      </c>
      <c r="U19" s="380">
        <f t="shared" si="12"/>
        <v>46340</v>
      </c>
      <c r="V19" s="319">
        <v>45615</v>
      </c>
      <c r="W19" s="380">
        <f>IF(ISBLANK(V19),"",EDATE(V19,24))-1</f>
        <v>46344</v>
      </c>
      <c r="X19" s="319">
        <v>45604</v>
      </c>
      <c r="Y19" s="380">
        <f t="shared" si="17"/>
        <v>46333</v>
      </c>
      <c r="Z19" s="319">
        <v>45779</v>
      </c>
      <c r="AA19" s="91">
        <f>IF(ISBLANK(Z19),"",EDATE(Z19,24))-1</f>
        <v>46508</v>
      </c>
      <c r="AB19" s="317" t="s">
        <v>232</v>
      </c>
      <c r="AC19" s="317" t="s">
        <v>232</v>
      </c>
      <c r="AD19" s="319">
        <v>45795</v>
      </c>
      <c r="AE19" s="91">
        <f>IF(ISBLANK(AD19),"",EDATE(AD19,24))-1</f>
        <v>46524</v>
      </c>
      <c r="AF19" s="319">
        <v>45447</v>
      </c>
      <c r="AG19" s="380">
        <v>46177</v>
      </c>
      <c r="AH19" s="91">
        <v>45460</v>
      </c>
      <c r="AI19" s="380">
        <v>46190</v>
      </c>
      <c r="AJ19" s="91">
        <v>45462</v>
      </c>
      <c r="AK19" s="380">
        <v>46192</v>
      </c>
      <c r="AL19" s="319">
        <v>45748</v>
      </c>
      <c r="AM19" s="380">
        <f t="shared" si="18"/>
        <v>46112</v>
      </c>
      <c r="AN19" s="91">
        <v>46032</v>
      </c>
      <c r="AO19" s="91">
        <f t="shared" si="7"/>
        <v>46761</v>
      </c>
      <c r="AP19" s="91">
        <v>45709</v>
      </c>
      <c r="AQ19" s="91">
        <f t="shared" si="8"/>
        <v>46438</v>
      </c>
      <c r="AR19" s="91">
        <v>45784</v>
      </c>
      <c r="AS19" s="91">
        <f t="shared" si="9"/>
        <v>46513</v>
      </c>
      <c r="AT19" s="317" t="s">
        <v>232</v>
      </c>
      <c r="AU19" s="317" t="s">
        <v>232</v>
      </c>
      <c r="AV19" s="317" t="s">
        <v>232</v>
      </c>
      <c r="AW19" s="317" t="s">
        <v>232</v>
      </c>
      <c r="AX19" s="317" t="s">
        <v>232</v>
      </c>
      <c r="AY19" s="317" t="s">
        <v>232</v>
      </c>
      <c r="AZ19" s="317" t="s">
        <v>232</v>
      </c>
      <c r="BA19" s="317" t="s">
        <v>232</v>
      </c>
      <c r="BB19" s="317" t="s">
        <v>232</v>
      </c>
      <c r="BC19" s="317" t="s">
        <v>232</v>
      </c>
      <c r="BD19" s="317" t="s">
        <v>232</v>
      </c>
      <c r="BE19" s="317" t="s">
        <v>232</v>
      </c>
      <c r="BF19" s="317" t="s">
        <v>232</v>
      </c>
      <c r="BG19" s="317" t="s">
        <v>232</v>
      </c>
      <c r="BH19" s="317" t="s">
        <v>232</v>
      </c>
      <c r="BI19" s="317" t="s">
        <v>232</v>
      </c>
      <c r="BJ19" s="317" t="s">
        <v>232</v>
      </c>
      <c r="BK19" s="317" t="s">
        <v>232</v>
      </c>
      <c r="BL19" s="91">
        <v>45456</v>
      </c>
      <c r="BM19" s="380">
        <f t="shared" si="10"/>
        <v>46185</v>
      </c>
      <c r="BN19" s="91" t="s">
        <v>232</v>
      </c>
      <c r="BO19" s="91" t="s">
        <v>232</v>
      </c>
      <c r="BP19" s="91" t="s">
        <v>232</v>
      </c>
      <c r="BQ19" s="91" t="s">
        <v>232</v>
      </c>
      <c r="BR19" s="91" t="s">
        <v>232</v>
      </c>
      <c r="BS19" s="91" t="s">
        <v>232</v>
      </c>
      <c r="BT19" s="91" t="s">
        <v>232</v>
      </c>
      <c r="BU19" s="91">
        <v>45466</v>
      </c>
      <c r="BV19" s="91">
        <v>45477</v>
      </c>
      <c r="BW19" s="91">
        <v>45465</v>
      </c>
      <c r="BX19" s="91">
        <v>45465</v>
      </c>
      <c r="BY19" s="91">
        <v>45459</v>
      </c>
      <c r="BZ19" s="91">
        <v>45474</v>
      </c>
      <c r="CA19" s="91">
        <v>45480</v>
      </c>
      <c r="CB19" s="91" t="s">
        <v>232</v>
      </c>
      <c r="CC19" s="91">
        <v>45480</v>
      </c>
      <c r="CD19" s="91">
        <v>45476</v>
      </c>
      <c r="CE19" s="91">
        <v>45483</v>
      </c>
      <c r="CF19" s="91">
        <v>45526</v>
      </c>
      <c r="CG19" s="91">
        <v>45532</v>
      </c>
      <c r="CH19" s="91">
        <v>45540</v>
      </c>
      <c r="CI19" s="91">
        <v>45546</v>
      </c>
      <c r="CJ19" s="91">
        <v>45559</v>
      </c>
      <c r="CK19" s="91" t="s">
        <v>232</v>
      </c>
      <c r="CL19" s="427" t="s">
        <v>232</v>
      </c>
      <c r="CM19" s="91" t="s">
        <v>232</v>
      </c>
      <c r="CN19" s="91">
        <v>45639</v>
      </c>
      <c r="CO19" s="91">
        <v>45699</v>
      </c>
      <c r="CP19" s="91" t="s">
        <v>232</v>
      </c>
      <c r="CQ19" s="10">
        <v>45743</v>
      </c>
      <c r="CR19" s="10" t="s">
        <v>232</v>
      </c>
      <c r="CS19" s="10" t="s">
        <v>232</v>
      </c>
      <c r="CT19" s="10" t="s">
        <v>232</v>
      </c>
      <c r="CU19" s="11" t="s">
        <v>232</v>
      </c>
      <c r="CV19" s="11"/>
      <c r="CW19" s="11" t="s">
        <v>232</v>
      </c>
      <c r="CX19" s="11" t="s">
        <v>232</v>
      </c>
      <c r="CY19" s="10">
        <v>45953</v>
      </c>
      <c r="CZ19" s="11"/>
    </row>
    <row r="20" spans="2:104" ht="50.25" customHeight="1">
      <c r="B20" s="331">
        <v>16</v>
      </c>
      <c r="C20" s="321" t="s">
        <v>81</v>
      </c>
      <c r="D20" s="376" t="s">
        <v>82</v>
      </c>
      <c r="E20" s="376" t="s">
        <v>281</v>
      </c>
      <c r="F20" s="377" t="s">
        <v>239</v>
      </c>
      <c r="G20" s="440" t="s">
        <v>282</v>
      </c>
      <c r="H20" s="319">
        <v>45450</v>
      </c>
      <c r="I20" s="380">
        <f t="shared" si="0"/>
        <v>46179</v>
      </c>
      <c r="J20" s="319">
        <v>45457</v>
      </c>
      <c r="K20" s="380">
        <f t="shared" si="1"/>
        <v>46186</v>
      </c>
      <c r="L20" s="319">
        <v>45481</v>
      </c>
      <c r="M20" s="380">
        <f t="shared" si="2"/>
        <v>46210</v>
      </c>
      <c r="N20" s="91">
        <v>45454</v>
      </c>
      <c r="O20" s="380">
        <f>IF(ISBLANK(N20),"",EDATE(N20,24))-1</f>
        <v>46183</v>
      </c>
      <c r="P20" s="91">
        <v>45454</v>
      </c>
      <c r="Q20" s="91">
        <f>IF(ISBLANK(P20),"",EDATE(P20,24))-1</f>
        <v>46183</v>
      </c>
      <c r="R20" s="91" t="s">
        <v>231</v>
      </c>
      <c r="S20" s="91" t="s">
        <v>231</v>
      </c>
      <c r="T20" s="317" t="s">
        <v>232</v>
      </c>
      <c r="U20" s="317" t="s">
        <v>232</v>
      </c>
      <c r="V20" s="317" t="s">
        <v>232</v>
      </c>
      <c r="W20" s="317" t="s">
        <v>232</v>
      </c>
      <c r="X20" s="317" t="s">
        <v>232</v>
      </c>
      <c r="Y20" s="317" t="s">
        <v>232</v>
      </c>
      <c r="Z20" s="317" t="s">
        <v>232</v>
      </c>
      <c r="AA20" s="317" t="s">
        <v>232</v>
      </c>
      <c r="AB20" s="317" t="s">
        <v>232</v>
      </c>
      <c r="AC20" s="380" t="e">
        <f>IF(ISBLANK(AB20),"",EDATE(AB20,24))-1</f>
        <v>#VALUE!</v>
      </c>
      <c r="AD20" s="317" t="s">
        <v>232</v>
      </c>
      <c r="AE20" s="380" t="e">
        <f>IF(ISBLANK(AD20),"",EDATE(AD20,24))-1</f>
        <v>#VALUE!</v>
      </c>
      <c r="AF20" s="319">
        <v>45447</v>
      </c>
      <c r="AG20" s="380">
        <f>IF(ISBLANK(AF20),"",EDATE(AF20,24))-1</f>
        <v>46176</v>
      </c>
      <c r="AH20" s="91">
        <v>45460</v>
      </c>
      <c r="AI20" s="380">
        <f>IF(ISBLANK(AH20),"",EDATE(AH20,24))-1</f>
        <v>46189</v>
      </c>
      <c r="AJ20" s="91">
        <v>45462</v>
      </c>
      <c r="AK20" s="380">
        <f>IF(ISBLANK(AJ20),"",EDATE(AJ20,24))-1</f>
        <v>46191</v>
      </c>
      <c r="AL20" s="319">
        <v>45748</v>
      </c>
      <c r="AM20" s="380">
        <f t="shared" si="18"/>
        <v>46112</v>
      </c>
      <c r="AN20" s="91">
        <v>46032</v>
      </c>
      <c r="AO20" s="91">
        <f t="shared" si="7"/>
        <v>46761</v>
      </c>
      <c r="AP20" s="91">
        <v>45709</v>
      </c>
      <c r="AQ20" s="91">
        <f t="shared" si="8"/>
        <v>46438</v>
      </c>
      <c r="AR20" s="91">
        <v>45784</v>
      </c>
      <c r="AS20" s="91">
        <f t="shared" si="9"/>
        <v>46513</v>
      </c>
      <c r="AT20" s="317" t="s">
        <v>232</v>
      </c>
      <c r="AU20" s="317" t="s">
        <v>232</v>
      </c>
      <c r="AV20" s="317" t="s">
        <v>232</v>
      </c>
      <c r="AW20" s="317" t="s">
        <v>232</v>
      </c>
      <c r="AX20" s="91">
        <v>45828</v>
      </c>
      <c r="AY20" s="91">
        <f>IF(ISBLANK(AX20),"",EDATE(AX20,24))-1</f>
        <v>46557</v>
      </c>
      <c r="AZ20" s="317" t="s">
        <v>232</v>
      </c>
      <c r="BA20" s="317" t="s">
        <v>232</v>
      </c>
      <c r="BB20" s="317" t="s">
        <v>232</v>
      </c>
      <c r="BC20" s="317" t="s">
        <v>232</v>
      </c>
      <c r="BD20" s="317" t="s">
        <v>232</v>
      </c>
      <c r="BE20" s="317" t="s">
        <v>232</v>
      </c>
      <c r="BF20" s="317" t="s">
        <v>232</v>
      </c>
      <c r="BG20" s="317" t="s">
        <v>232</v>
      </c>
      <c r="BH20" s="317" t="s">
        <v>232</v>
      </c>
      <c r="BI20" s="317" t="s">
        <v>232</v>
      </c>
      <c r="BJ20" s="317" t="s">
        <v>232</v>
      </c>
      <c r="BK20" s="317" t="s">
        <v>232</v>
      </c>
      <c r="BL20" s="91">
        <v>45456</v>
      </c>
      <c r="BM20" s="380">
        <f t="shared" si="10"/>
        <v>46185</v>
      </c>
      <c r="BN20" s="91">
        <v>45404</v>
      </c>
      <c r="BO20" s="91" t="s">
        <v>232</v>
      </c>
      <c r="BP20" s="91" t="s">
        <v>232</v>
      </c>
      <c r="BQ20" s="91" t="s">
        <v>232</v>
      </c>
      <c r="BR20" s="91" t="s">
        <v>232</v>
      </c>
      <c r="BS20" s="91" t="s">
        <v>232</v>
      </c>
      <c r="BT20" s="91">
        <v>45383</v>
      </c>
      <c r="BU20" s="91">
        <v>45466</v>
      </c>
      <c r="BV20" s="91">
        <v>45477</v>
      </c>
      <c r="BW20" s="91">
        <v>45465</v>
      </c>
      <c r="BX20" s="91">
        <v>45465</v>
      </c>
      <c r="BY20" s="91" t="s">
        <v>283</v>
      </c>
      <c r="BZ20" s="91">
        <v>45474</v>
      </c>
      <c r="CA20" s="91">
        <v>45480</v>
      </c>
      <c r="CB20" s="91">
        <v>45790</v>
      </c>
      <c r="CC20" s="91">
        <v>45480</v>
      </c>
      <c r="CD20" s="91">
        <v>45476</v>
      </c>
      <c r="CE20" s="91">
        <v>45483</v>
      </c>
      <c r="CF20" s="91">
        <v>45524</v>
      </c>
      <c r="CG20" s="91">
        <v>45532</v>
      </c>
      <c r="CH20" s="91">
        <v>45540</v>
      </c>
      <c r="CI20" s="91">
        <v>45548</v>
      </c>
      <c r="CJ20" s="91">
        <v>45559</v>
      </c>
      <c r="CK20" s="91" t="s">
        <v>232</v>
      </c>
      <c r="CL20" s="11" t="s">
        <v>232</v>
      </c>
      <c r="CM20" s="91" t="s">
        <v>232</v>
      </c>
      <c r="CN20" s="91">
        <v>45639</v>
      </c>
      <c r="CO20" s="91">
        <v>45701</v>
      </c>
      <c r="CP20" s="91" t="s">
        <v>232</v>
      </c>
      <c r="CQ20" s="10">
        <v>45742</v>
      </c>
      <c r="CR20" s="10" t="s">
        <v>232</v>
      </c>
      <c r="CS20" s="10" t="s">
        <v>232</v>
      </c>
      <c r="CT20" s="10" t="s">
        <v>232</v>
      </c>
      <c r="CU20" s="10">
        <v>45931</v>
      </c>
      <c r="CV20" s="10"/>
      <c r="CW20" s="11" t="s">
        <v>232</v>
      </c>
      <c r="CX20" s="11" t="s">
        <v>232</v>
      </c>
      <c r="CY20" s="11"/>
      <c r="CZ20" s="10">
        <v>46017</v>
      </c>
    </row>
    <row r="21" spans="2:104" ht="50.25" customHeight="1">
      <c r="B21" s="331">
        <v>17</v>
      </c>
      <c r="C21" s="321" t="s">
        <v>83</v>
      </c>
      <c r="D21" s="376" t="s">
        <v>84</v>
      </c>
      <c r="E21" s="376" t="s">
        <v>284</v>
      </c>
      <c r="F21" s="377" t="s">
        <v>229</v>
      </c>
      <c r="G21" s="439" t="s">
        <v>230</v>
      </c>
      <c r="H21" s="319">
        <v>45450</v>
      </c>
      <c r="I21" s="380">
        <f t="shared" si="0"/>
        <v>46179</v>
      </c>
      <c r="J21" s="319">
        <v>45457</v>
      </c>
      <c r="K21" s="380">
        <f t="shared" si="1"/>
        <v>46186</v>
      </c>
      <c r="L21" s="319">
        <v>45481</v>
      </c>
      <c r="M21" s="380">
        <f t="shared" si="2"/>
        <v>46210</v>
      </c>
      <c r="N21" s="91" t="s">
        <v>231</v>
      </c>
      <c r="O21" s="91" t="s">
        <v>231</v>
      </c>
      <c r="P21" s="91" t="s">
        <v>231</v>
      </c>
      <c r="Q21" s="91" t="s">
        <v>231</v>
      </c>
      <c r="R21" s="319">
        <v>45449</v>
      </c>
      <c r="S21" s="380">
        <f>IF(ISBLANK(R21),"",EDATE(R21,24))-1</f>
        <v>46178</v>
      </c>
      <c r="T21" s="91">
        <v>45611</v>
      </c>
      <c r="U21" s="380">
        <f>IF(ISBLANK(T21),"",EDATE(T21,24))-1</f>
        <v>46340</v>
      </c>
      <c r="V21" s="319">
        <v>45615</v>
      </c>
      <c r="W21" s="380">
        <f>IF(ISBLANK(V21),"",EDATE(V21,24))-1</f>
        <v>46344</v>
      </c>
      <c r="X21" s="317" t="s">
        <v>231</v>
      </c>
      <c r="Y21" s="317" t="s">
        <v>231</v>
      </c>
      <c r="Z21" s="317" t="s">
        <v>232</v>
      </c>
      <c r="AA21" s="317" t="s">
        <v>232</v>
      </c>
      <c r="AB21" s="317" t="s">
        <v>232</v>
      </c>
      <c r="AC21" s="317" t="s">
        <v>232</v>
      </c>
      <c r="AD21" s="319">
        <v>45795</v>
      </c>
      <c r="AE21" s="91">
        <f>IF(ISBLANK(AD21),"",EDATE(AD21,24))-1</f>
        <v>46524</v>
      </c>
      <c r="AF21" s="319">
        <v>45447</v>
      </c>
      <c r="AG21" s="380">
        <f>IF(ISBLANK(AF21),"",EDATE(AF21,24))-1</f>
        <v>46176</v>
      </c>
      <c r="AH21" s="91">
        <v>45460</v>
      </c>
      <c r="AI21" s="380">
        <f>IF(ISBLANK(AH21),"",EDATE(AH21,24))-1</f>
        <v>46189</v>
      </c>
      <c r="AJ21" s="91">
        <v>45462</v>
      </c>
      <c r="AK21" s="380">
        <f>IF(ISBLANK(AJ21),"",EDATE(AJ21,24))-1</f>
        <v>46191</v>
      </c>
      <c r="AL21" s="319">
        <v>45748</v>
      </c>
      <c r="AM21" s="380">
        <f t="shared" si="18"/>
        <v>46112</v>
      </c>
      <c r="AN21" s="91">
        <v>46032</v>
      </c>
      <c r="AO21" s="91">
        <f t="shared" si="7"/>
        <v>46761</v>
      </c>
      <c r="AP21" s="91">
        <v>45709</v>
      </c>
      <c r="AQ21" s="91">
        <f t="shared" si="8"/>
        <v>46438</v>
      </c>
      <c r="AR21" s="91">
        <v>45784</v>
      </c>
      <c r="AS21" s="91">
        <f t="shared" si="9"/>
        <v>46513</v>
      </c>
      <c r="AT21" s="91">
        <v>45782</v>
      </c>
      <c r="AU21" s="317">
        <v>46512</v>
      </c>
      <c r="AV21" s="91">
        <v>45782</v>
      </c>
      <c r="AW21" s="317">
        <v>46512</v>
      </c>
      <c r="AX21" s="317" t="s">
        <v>232</v>
      </c>
      <c r="AY21" s="317" t="s">
        <v>232</v>
      </c>
      <c r="AZ21" s="317" t="s">
        <v>232</v>
      </c>
      <c r="BA21" s="317" t="s">
        <v>232</v>
      </c>
      <c r="BB21" s="317" t="s">
        <v>232</v>
      </c>
      <c r="BC21" s="317" t="s">
        <v>232</v>
      </c>
      <c r="BD21" s="91">
        <v>45714</v>
      </c>
      <c r="BE21" s="91">
        <f>IF(ISBLANK(BD21),"",EDATE(BD21,24))-1</f>
        <v>46443</v>
      </c>
      <c r="BF21" s="317" t="s">
        <v>232</v>
      </c>
      <c r="BG21" s="317" t="s">
        <v>232</v>
      </c>
      <c r="BH21" s="317" t="s">
        <v>232</v>
      </c>
      <c r="BI21" s="317" t="s">
        <v>232</v>
      </c>
      <c r="BJ21" s="317" t="s">
        <v>232</v>
      </c>
      <c r="BK21" s="317" t="s">
        <v>232</v>
      </c>
      <c r="BL21" s="91">
        <v>45456</v>
      </c>
      <c r="BM21" s="380">
        <f t="shared" si="10"/>
        <v>46185</v>
      </c>
      <c r="BN21" s="91" t="s">
        <v>232</v>
      </c>
      <c r="BO21" s="91" t="s">
        <v>232</v>
      </c>
      <c r="BP21" s="91" t="s">
        <v>232</v>
      </c>
      <c r="BQ21" s="91" t="s">
        <v>232</v>
      </c>
      <c r="BR21" s="91" t="s">
        <v>232</v>
      </c>
      <c r="BS21" s="91">
        <v>45597</v>
      </c>
      <c r="BT21" s="91" t="s">
        <v>232</v>
      </c>
      <c r="BU21" s="91">
        <v>45466</v>
      </c>
      <c r="BV21" s="91">
        <v>45477</v>
      </c>
      <c r="BW21" s="91">
        <v>45465</v>
      </c>
      <c r="BX21" s="91">
        <v>45465</v>
      </c>
      <c r="BY21" s="91">
        <v>45459</v>
      </c>
      <c r="BZ21" s="91">
        <v>45474</v>
      </c>
      <c r="CA21" s="91">
        <v>45480</v>
      </c>
      <c r="CB21" s="91" t="s">
        <v>232</v>
      </c>
      <c r="CC21" s="91">
        <v>45480</v>
      </c>
      <c r="CD21" s="91">
        <v>45476</v>
      </c>
      <c r="CE21" s="91">
        <v>45483</v>
      </c>
      <c r="CF21" s="91">
        <v>45526</v>
      </c>
      <c r="CG21" s="91">
        <v>45532</v>
      </c>
      <c r="CH21" s="91">
        <v>45540</v>
      </c>
      <c r="CI21" s="91">
        <v>45551</v>
      </c>
      <c r="CJ21" s="91">
        <v>45559</v>
      </c>
      <c r="CK21" s="91">
        <v>45810</v>
      </c>
      <c r="CL21" s="10">
        <v>45981</v>
      </c>
      <c r="CM21" s="91" t="s">
        <v>232</v>
      </c>
      <c r="CN21" s="91">
        <v>45639</v>
      </c>
      <c r="CO21" s="381">
        <v>45699</v>
      </c>
      <c r="CP21" s="91" t="s">
        <v>232</v>
      </c>
      <c r="CQ21" s="10">
        <v>45637</v>
      </c>
      <c r="CR21" s="10" t="s">
        <v>232</v>
      </c>
      <c r="CS21" s="10" t="s">
        <v>232</v>
      </c>
      <c r="CT21" s="10" t="s">
        <v>232</v>
      </c>
      <c r="CU21" s="11" t="s">
        <v>232</v>
      </c>
      <c r="CV21" s="11"/>
      <c r="CW21" s="11" t="s">
        <v>232</v>
      </c>
      <c r="CX21" s="11" t="s">
        <v>232</v>
      </c>
      <c r="CY21" s="10">
        <v>45953</v>
      </c>
      <c r="CZ21" s="10"/>
    </row>
    <row r="22" spans="2:104" ht="50.25" customHeight="1">
      <c r="B22" s="331">
        <v>18</v>
      </c>
      <c r="C22" s="321" t="s">
        <v>85</v>
      </c>
      <c r="D22" s="376" t="s">
        <v>86</v>
      </c>
      <c r="E22" s="376" t="s">
        <v>285</v>
      </c>
      <c r="F22" s="377" t="s">
        <v>229</v>
      </c>
      <c r="G22" s="439" t="s">
        <v>286</v>
      </c>
      <c r="H22" s="319">
        <v>45479</v>
      </c>
      <c r="I22" s="380">
        <f t="shared" si="0"/>
        <v>46208</v>
      </c>
      <c r="J22" s="319">
        <v>45457</v>
      </c>
      <c r="K22" s="380">
        <f t="shared" si="1"/>
        <v>46186</v>
      </c>
      <c r="L22" s="319">
        <v>45481</v>
      </c>
      <c r="M22" s="380">
        <f t="shared" si="2"/>
        <v>46210</v>
      </c>
      <c r="N22" s="91">
        <v>45448</v>
      </c>
      <c r="O22" s="380">
        <f t="shared" ref="O22:O31" si="19">IF(ISBLANK(N22),"",EDATE(N22,24))-1</f>
        <v>46177</v>
      </c>
      <c r="P22" s="91">
        <v>45449</v>
      </c>
      <c r="Q22" s="91">
        <f t="shared" ref="Q22:Q31" si="20">IF(ISBLANK(P22),"",EDATE(P22,24))-1</f>
        <v>46178</v>
      </c>
      <c r="R22" s="319">
        <v>45471</v>
      </c>
      <c r="S22" s="380">
        <f>IF(ISBLANK(R22),"",EDATE(R22,24))-1</f>
        <v>46200</v>
      </c>
      <c r="T22" s="91">
        <v>45611</v>
      </c>
      <c r="U22" s="380">
        <f>IF(ISBLANK(T22),"",EDATE(T22,24))-1</f>
        <v>46340</v>
      </c>
      <c r="V22" s="91">
        <v>45695</v>
      </c>
      <c r="W22" s="91">
        <f>IF(ISBLANK(V22),"",EDATE(V22,24))</f>
        <v>46425</v>
      </c>
      <c r="X22" s="319">
        <v>45604</v>
      </c>
      <c r="Y22" s="380">
        <f>IF(ISBLANK(X22),"",EDATE(X22,24))-1</f>
        <v>46333</v>
      </c>
      <c r="Z22" s="317" t="s">
        <v>232</v>
      </c>
      <c r="AA22" s="317" t="s">
        <v>232</v>
      </c>
      <c r="AB22" s="317" t="s">
        <v>232</v>
      </c>
      <c r="AC22" s="317" t="s">
        <v>232</v>
      </c>
      <c r="AD22" s="319">
        <v>45795</v>
      </c>
      <c r="AE22" s="91">
        <f>IF(ISBLANK(AD22),"",EDATE(AD22,24))-1</f>
        <v>46524</v>
      </c>
      <c r="AF22" s="319">
        <v>45469</v>
      </c>
      <c r="AG22" s="91">
        <f>IF(ISBLANK(AF22),"",EDATE(AF22,24))-1</f>
        <v>46198</v>
      </c>
      <c r="AH22" s="91">
        <v>45460</v>
      </c>
      <c r="AI22" s="91">
        <f>IF(ISBLANK(AH22),"",EDATE(AH22,24))-1</f>
        <v>46189</v>
      </c>
      <c r="AJ22" s="91">
        <v>45462</v>
      </c>
      <c r="AK22" s="91">
        <f>IF(ISBLANK(AJ22),"",EDATE(AJ22,24))-1</f>
        <v>46191</v>
      </c>
      <c r="AL22" s="319">
        <v>45748</v>
      </c>
      <c r="AM22" s="380">
        <f t="shared" si="18"/>
        <v>46112</v>
      </c>
      <c r="AN22" s="91">
        <v>46032</v>
      </c>
      <c r="AO22" s="91">
        <f t="shared" si="7"/>
        <v>46761</v>
      </c>
      <c r="AP22" s="91">
        <v>45709</v>
      </c>
      <c r="AQ22" s="91">
        <f t="shared" si="8"/>
        <v>46438</v>
      </c>
      <c r="AR22" s="91">
        <v>45784</v>
      </c>
      <c r="AS22" s="91">
        <f t="shared" si="9"/>
        <v>46513</v>
      </c>
      <c r="AT22" s="91">
        <v>45782</v>
      </c>
      <c r="AU22" s="317">
        <v>46512</v>
      </c>
      <c r="AV22" s="317" t="s">
        <v>232</v>
      </c>
      <c r="AW22" s="317" t="s">
        <v>232</v>
      </c>
      <c r="AX22" s="317" t="s">
        <v>232</v>
      </c>
      <c r="AY22" s="317" t="s">
        <v>232</v>
      </c>
      <c r="AZ22" s="317" t="s">
        <v>232</v>
      </c>
      <c r="BA22" s="317" t="s">
        <v>232</v>
      </c>
      <c r="BB22" s="317" t="s">
        <v>232</v>
      </c>
      <c r="BC22" s="317" t="s">
        <v>232</v>
      </c>
      <c r="BD22" s="317" t="s">
        <v>232</v>
      </c>
      <c r="BE22" s="317" t="s">
        <v>232</v>
      </c>
      <c r="BF22" s="317" t="s">
        <v>232</v>
      </c>
      <c r="BG22" s="317" t="s">
        <v>232</v>
      </c>
      <c r="BH22" s="317" t="s">
        <v>232</v>
      </c>
      <c r="BI22" s="317" t="s">
        <v>232</v>
      </c>
      <c r="BJ22" s="317" t="s">
        <v>232</v>
      </c>
      <c r="BK22" s="317" t="s">
        <v>232</v>
      </c>
      <c r="BL22" s="91">
        <v>45575</v>
      </c>
      <c r="BM22" s="380">
        <f t="shared" si="10"/>
        <v>46304</v>
      </c>
      <c r="BN22" s="91" t="s">
        <v>232</v>
      </c>
      <c r="BO22" s="91" t="s">
        <v>232</v>
      </c>
      <c r="BP22" s="91" t="s">
        <v>232</v>
      </c>
      <c r="BQ22" s="91" t="s">
        <v>232</v>
      </c>
      <c r="BR22" s="91" t="s">
        <v>232</v>
      </c>
      <c r="BS22" s="91" t="s">
        <v>232</v>
      </c>
      <c r="BT22" s="91" t="s">
        <v>232</v>
      </c>
      <c r="BU22" s="91">
        <v>45466</v>
      </c>
      <c r="BV22" s="91">
        <v>45477</v>
      </c>
      <c r="BW22" s="91">
        <v>45465</v>
      </c>
      <c r="BX22" s="91">
        <v>45465</v>
      </c>
      <c r="BY22" s="91">
        <v>45459</v>
      </c>
      <c r="BZ22" s="91">
        <v>46000</v>
      </c>
      <c r="CA22" s="91">
        <v>45480</v>
      </c>
      <c r="CB22" s="91" t="s">
        <v>232</v>
      </c>
      <c r="CC22" s="91">
        <v>45480</v>
      </c>
      <c r="CD22" s="91">
        <v>45476</v>
      </c>
      <c r="CE22" s="91">
        <v>45483</v>
      </c>
      <c r="CF22" s="91">
        <v>45524</v>
      </c>
      <c r="CG22" s="91">
        <v>45532</v>
      </c>
      <c r="CH22" s="91">
        <v>45540</v>
      </c>
      <c r="CI22" s="91">
        <v>45551</v>
      </c>
      <c r="CJ22" s="91">
        <v>45559</v>
      </c>
      <c r="CK22" s="91" t="s">
        <v>232</v>
      </c>
      <c r="CL22" s="11" t="s">
        <v>232</v>
      </c>
      <c r="CM22" s="91" t="s">
        <v>232</v>
      </c>
      <c r="CN22" s="91">
        <v>45639</v>
      </c>
      <c r="CO22" s="91">
        <v>45699</v>
      </c>
      <c r="CP22" s="91" t="s">
        <v>232</v>
      </c>
      <c r="CQ22" s="10">
        <v>45743</v>
      </c>
      <c r="CR22" s="10" t="s">
        <v>232</v>
      </c>
      <c r="CS22" s="10" t="s">
        <v>232</v>
      </c>
      <c r="CT22" s="10" t="s">
        <v>232</v>
      </c>
      <c r="CU22" s="11" t="s">
        <v>232</v>
      </c>
      <c r="CV22" s="11"/>
      <c r="CW22" s="11" t="s">
        <v>232</v>
      </c>
      <c r="CX22" s="11" t="s">
        <v>232</v>
      </c>
      <c r="CY22" s="11"/>
      <c r="CZ22" s="11"/>
    </row>
    <row r="23" spans="2:104" ht="69.75" customHeight="1">
      <c r="B23" s="331">
        <v>19</v>
      </c>
      <c r="C23" s="321" t="s">
        <v>287</v>
      </c>
      <c r="D23" s="376" t="s">
        <v>288</v>
      </c>
      <c r="E23" s="376" t="s">
        <v>289</v>
      </c>
      <c r="F23" s="377" t="s">
        <v>239</v>
      </c>
      <c r="G23" s="440" t="s">
        <v>290</v>
      </c>
      <c r="H23" s="319">
        <v>45479</v>
      </c>
      <c r="I23" s="380">
        <f t="shared" si="0"/>
        <v>46208</v>
      </c>
      <c r="J23" s="319">
        <v>45478</v>
      </c>
      <c r="K23" s="380">
        <f t="shared" si="1"/>
        <v>46207</v>
      </c>
      <c r="L23" s="319">
        <v>45486</v>
      </c>
      <c r="M23" s="380">
        <f t="shared" si="2"/>
        <v>46215</v>
      </c>
      <c r="N23" s="91">
        <v>45448</v>
      </c>
      <c r="O23" s="380">
        <f t="shared" si="19"/>
        <v>46177</v>
      </c>
      <c r="P23" s="91">
        <v>45449</v>
      </c>
      <c r="Q23" s="91">
        <f t="shared" si="20"/>
        <v>46178</v>
      </c>
      <c r="R23" s="91" t="s">
        <v>231</v>
      </c>
      <c r="S23" s="91" t="s">
        <v>231</v>
      </c>
      <c r="T23" s="317" t="s">
        <v>232</v>
      </c>
      <c r="U23" s="317" t="s">
        <v>232</v>
      </c>
      <c r="V23" s="317" t="s">
        <v>232</v>
      </c>
      <c r="W23" s="317" t="s">
        <v>232</v>
      </c>
      <c r="X23" s="317">
        <v>45834</v>
      </c>
      <c r="Y23" s="317">
        <v>46564</v>
      </c>
      <c r="Z23" s="317" t="s">
        <v>232</v>
      </c>
      <c r="AA23" s="317" t="s">
        <v>232</v>
      </c>
      <c r="AB23" s="317" t="s">
        <v>232</v>
      </c>
      <c r="AC23" s="317" t="s">
        <v>232</v>
      </c>
      <c r="AD23" s="319">
        <v>45795</v>
      </c>
      <c r="AE23" s="91">
        <f>IF(ISBLANK(AD23),"",EDATE(AD23,24))-1</f>
        <v>46524</v>
      </c>
      <c r="AF23" s="319">
        <v>45469</v>
      </c>
      <c r="AG23" s="380">
        <v>46199</v>
      </c>
      <c r="AH23" s="91">
        <v>45673</v>
      </c>
      <c r="AI23" s="91">
        <f>IF(ISBLANK(AH23),"",EDATE(AH23,24))-1</f>
        <v>46402</v>
      </c>
      <c r="AJ23" s="91">
        <v>45674</v>
      </c>
      <c r="AK23" s="91">
        <f>IF(ISBLANK(AJ23),"",EDATE(AJ23,24))-1</f>
        <v>46403</v>
      </c>
      <c r="AL23" s="319">
        <v>45785</v>
      </c>
      <c r="AM23" s="380">
        <f t="shared" si="18"/>
        <v>46149</v>
      </c>
      <c r="AN23" s="91">
        <v>45786</v>
      </c>
      <c r="AO23" s="91">
        <f t="shared" si="7"/>
        <v>46515</v>
      </c>
      <c r="AP23" s="91">
        <v>45709</v>
      </c>
      <c r="AQ23" s="91">
        <f t="shared" si="8"/>
        <v>46438</v>
      </c>
      <c r="AR23" s="91">
        <v>45784</v>
      </c>
      <c r="AS23" s="91">
        <f t="shared" si="9"/>
        <v>46513</v>
      </c>
      <c r="AT23" s="317" t="s">
        <v>232</v>
      </c>
      <c r="AU23" s="317" t="s">
        <v>232</v>
      </c>
      <c r="AV23" s="317" t="s">
        <v>232</v>
      </c>
      <c r="AW23" s="317" t="s">
        <v>232</v>
      </c>
      <c r="AX23" s="91">
        <v>45828</v>
      </c>
      <c r="AY23" s="91">
        <f>IF(ISBLANK(AX23),"",EDATE(AX23,24))-1</f>
        <v>46557</v>
      </c>
      <c r="AZ23" s="317" t="s">
        <v>232</v>
      </c>
      <c r="BA23" s="317" t="s">
        <v>232</v>
      </c>
      <c r="BB23" s="317" t="s">
        <v>232</v>
      </c>
      <c r="BC23" s="317" t="s">
        <v>232</v>
      </c>
      <c r="BD23" s="317" t="s">
        <v>232</v>
      </c>
      <c r="BE23" s="317" t="s">
        <v>232</v>
      </c>
      <c r="BF23" s="317" t="s">
        <v>232</v>
      </c>
      <c r="BG23" s="317" t="s">
        <v>232</v>
      </c>
      <c r="BH23" s="317" t="s">
        <v>232</v>
      </c>
      <c r="BI23" s="317" t="s">
        <v>232</v>
      </c>
      <c r="BJ23" s="317" t="s">
        <v>232</v>
      </c>
      <c r="BK23" s="317" t="s">
        <v>232</v>
      </c>
      <c r="BL23" s="91">
        <v>45575</v>
      </c>
      <c r="BM23" s="380">
        <f t="shared" si="10"/>
        <v>46304</v>
      </c>
      <c r="BN23" s="91" t="s">
        <v>232</v>
      </c>
      <c r="BO23" s="91" t="s">
        <v>232</v>
      </c>
      <c r="BP23" s="91" t="s">
        <v>232</v>
      </c>
      <c r="BQ23" s="91" t="s">
        <v>232</v>
      </c>
      <c r="BR23" s="91" t="s">
        <v>232</v>
      </c>
      <c r="BS23" s="91" t="s">
        <v>232</v>
      </c>
      <c r="BT23" s="91" t="s">
        <v>232</v>
      </c>
      <c r="BU23" s="91">
        <v>45466</v>
      </c>
      <c r="BV23" s="91">
        <v>45477</v>
      </c>
      <c r="BW23" s="91">
        <v>45465</v>
      </c>
      <c r="BX23" s="91">
        <v>45465</v>
      </c>
      <c r="BY23" s="91">
        <v>45459</v>
      </c>
      <c r="BZ23" s="91">
        <v>45474</v>
      </c>
      <c r="CA23" s="91">
        <v>45480</v>
      </c>
      <c r="CB23" s="91">
        <v>45790</v>
      </c>
      <c r="CC23" s="91">
        <v>45480</v>
      </c>
      <c r="CD23" s="91">
        <v>45476</v>
      </c>
      <c r="CE23" s="91">
        <v>45483</v>
      </c>
      <c r="CF23" s="91">
        <v>45526</v>
      </c>
      <c r="CG23" s="91">
        <v>45532</v>
      </c>
      <c r="CH23" s="91">
        <v>45540</v>
      </c>
      <c r="CI23" s="91">
        <v>45546</v>
      </c>
      <c r="CJ23" s="91">
        <v>45559</v>
      </c>
      <c r="CK23" s="91" t="s">
        <v>232</v>
      </c>
      <c r="CL23" s="11" t="s">
        <v>232</v>
      </c>
      <c r="CM23" s="91">
        <v>45609</v>
      </c>
      <c r="CN23" s="91">
        <v>45639</v>
      </c>
      <c r="CO23" s="381">
        <v>45699</v>
      </c>
      <c r="CP23" s="91" t="s">
        <v>232</v>
      </c>
      <c r="CQ23" s="10">
        <v>45749</v>
      </c>
      <c r="CR23" s="10" t="s">
        <v>232</v>
      </c>
      <c r="CS23" s="10" t="s">
        <v>232</v>
      </c>
      <c r="CT23" s="10" t="s">
        <v>232</v>
      </c>
      <c r="CU23" s="11" t="s">
        <v>232</v>
      </c>
      <c r="CV23" s="11">
        <v>46070</v>
      </c>
      <c r="CW23" s="11" t="s">
        <v>232</v>
      </c>
      <c r="CX23" s="11" t="s">
        <v>232</v>
      </c>
      <c r="CY23" s="11"/>
      <c r="CZ23" s="10">
        <v>46017</v>
      </c>
    </row>
    <row r="24" spans="2:104" ht="50.25" customHeight="1">
      <c r="B24" s="331">
        <v>20</v>
      </c>
      <c r="C24" s="321" t="s">
        <v>291</v>
      </c>
      <c r="D24" s="376" t="s">
        <v>292</v>
      </c>
      <c r="E24" s="376" t="s">
        <v>293</v>
      </c>
      <c r="F24" s="377" t="s">
        <v>294</v>
      </c>
      <c r="G24" s="441" t="s">
        <v>232</v>
      </c>
      <c r="H24" s="319">
        <v>45545</v>
      </c>
      <c r="I24" s="380">
        <f t="shared" si="0"/>
        <v>46274</v>
      </c>
      <c r="J24" s="319">
        <v>45544</v>
      </c>
      <c r="K24" s="380">
        <f t="shared" si="1"/>
        <v>46273</v>
      </c>
      <c r="L24" s="319">
        <v>45574</v>
      </c>
      <c r="M24" s="380">
        <f t="shared" si="2"/>
        <v>46303</v>
      </c>
      <c r="N24" s="91">
        <v>45567</v>
      </c>
      <c r="O24" s="380">
        <f t="shared" si="19"/>
        <v>46296</v>
      </c>
      <c r="P24" s="91">
        <v>45568</v>
      </c>
      <c r="Q24" s="91">
        <f t="shared" si="20"/>
        <v>46297</v>
      </c>
      <c r="R24" s="319">
        <v>45581</v>
      </c>
      <c r="S24" s="380">
        <f t="shared" ref="S24:S30" si="21">IF(ISBLANK(R24),"",EDATE(R24,24))-1</f>
        <v>46310</v>
      </c>
      <c r="T24" s="91">
        <v>45611</v>
      </c>
      <c r="U24" s="380">
        <f>IF(ISBLANK(T24),"",EDATE(T24,24))-1</f>
        <v>46340</v>
      </c>
      <c r="V24" s="379">
        <v>45615</v>
      </c>
      <c r="W24" s="380">
        <f>IF(ISBLANK(V24),"",EDATE(V24,24))-1</f>
        <v>46344</v>
      </c>
      <c r="X24" s="319">
        <v>45604</v>
      </c>
      <c r="Y24" s="380">
        <f>IF(ISBLANK(X24),"",EDATE(X24,24))-1</f>
        <v>46333</v>
      </c>
      <c r="Z24" s="317" t="s">
        <v>232</v>
      </c>
      <c r="AA24" s="317" t="s">
        <v>232</v>
      </c>
      <c r="AB24" s="317" t="s">
        <v>232</v>
      </c>
      <c r="AC24" s="317" t="s">
        <v>232</v>
      </c>
      <c r="AD24" s="317" t="s">
        <v>232</v>
      </c>
      <c r="AE24" s="317" t="s">
        <v>232</v>
      </c>
      <c r="AF24" s="319">
        <v>45541</v>
      </c>
      <c r="AG24" s="380">
        <f>IF(ISBLANK(AF24),"",EDATE(AF24,24))</f>
        <v>46271</v>
      </c>
      <c r="AH24" s="91">
        <v>45577</v>
      </c>
      <c r="AI24" s="380">
        <f>IF(ISBLANK(AH24),"",EDATE(AH24,24))</f>
        <v>46307</v>
      </c>
      <c r="AJ24" s="91">
        <v>45579</v>
      </c>
      <c r="AK24" s="380">
        <f>IF(ISBLANK(AJ24),"",EDATE(AJ24,24))</f>
        <v>46309</v>
      </c>
      <c r="AL24" s="319">
        <v>45561</v>
      </c>
      <c r="AM24" s="380">
        <f>IF(ISBLANK(AL24),"",EDATE(AL24,24))-1</f>
        <v>46290</v>
      </c>
      <c r="AN24" s="91">
        <v>45560</v>
      </c>
      <c r="AO24" s="380">
        <f t="shared" si="7"/>
        <v>46289</v>
      </c>
      <c r="AP24" s="91">
        <v>45709</v>
      </c>
      <c r="AQ24" s="91">
        <f t="shared" si="8"/>
        <v>46438</v>
      </c>
      <c r="AR24" s="91">
        <v>45784</v>
      </c>
      <c r="AS24" s="91">
        <f t="shared" si="9"/>
        <v>46513</v>
      </c>
      <c r="AT24" s="317" t="s">
        <v>232</v>
      </c>
      <c r="AU24" s="317" t="s">
        <v>232</v>
      </c>
      <c r="AV24" s="317" t="s">
        <v>232</v>
      </c>
      <c r="AW24" s="317" t="s">
        <v>232</v>
      </c>
      <c r="AX24" s="317" t="s">
        <v>232</v>
      </c>
      <c r="AY24" s="317" t="s">
        <v>232</v>
      </c>
      <c r="AZ24" s="317" t="s">
        <v>232</v>
      </c>
      <c r="BA24" s="317" t="s">
        <v>232</v>
      </c>
      <c r="BB24" s="317" t="s">
        <v>232</v>
      </c>
      <c r="BC24" s="317" t="s">
        <v>232</v>
      </c>
      <c r="BD24" s="317" t="s">
        <v>232</v>
      </c>
      <c r="BE24" s="317" t="s">
        <v>232</v>
      </c>
      <c r="BF24" s="317" t="s">
        <v>232</v>
      </c>
      <c r="BG24" s="317" t="s">
        <v>232</v>
      </c>
      <c r="BH24" s="317" t="s">
        <v>232</v>
      </c>
      <c r="BI24" s="317" t="s">
        <v>232</v>
      </c>
      <c r="BJ24" s="317" t="s">
        <v>232</v>
      </c>
      <c r="BK24" s="317" t="s">
        <v>232</v>
      </c>
      <c r="BL24" s="91">
        <v>45575</v>
      </c>
      <c r="BM24" s="380">
        <f t="shared" si="10"/>
        <v>46304</v>
      </c>
      <c r="BN24" s="91" t="s">
        <v>232</v>
      </c>
      <c r="BO24" s="91" t="s">
        <v>232</v>
      </c>
      <c r="BP24" s="91" t="s">
        <v>232</v>
      </c>
      <c r="BQ24" s="91" t="s">
        <v>232</v>
      </c>
      <c r="BR24" s="91" t="s">
        <v>232</v>
      </c>
      <c r="BS24" s="91" t="s">
        <v>232</v>
      </c>
      <c r="BT24" s="91" t="s">
        <v>232</v>
      </c>
      <c r="BU24" s="91">
        <v>45583</v>
      </c>
      <c r="BV24" s="91">
        <v>45594</v>
      </c>
      <c r="BW24" s="91">
        <v>45584</v>
      </c>
      <c r="BX24" s="91">
        <v>45584</v>
      </c>
      <c r="BY24" s="91">
        <v>45582</v>
      </c>
      <c r="BZ24" s="91">
        <v>45588</v>
      </c>
      <c r="CA24" s="91">
        <v>45593</v>
      </c>
      <c r="CB24" s="91" t="s">
        <v>232</v>
      </c>
      <c r="CC24" s="91">
        <v>45593</v>
      </c>
      <c r="CD24" s="91">
        <v>45590</v>
      </c>
      <c r="CE24" s="91" t="s">
        <v>232</v>
      </c>
      <c r="CF24" s="91">
        <v>45619</v>
      </c>
      <c r="CG24" s="91">
        <v>45622</v>
      </c>
      <c r="CH24" s="91" t="s">
        <v>232</v>
      </c>
      <c r="CI24" s="91">
        <v>45548</v>
      </c>
      <c r="CJ24" s="91">
        <v>45609</v>
      </c>
      <c r="CK24" s="91" t="s">
        <v>232</v>
      </c>
      <c r="CL24" s="11" t="s">
        <v>232</v>
      </c>
      <c r="CM24" s="91" t="s">
        <v>232</v>
      </c>
      <c r="CN24" s="91">
        <v>45639</v>
      </c>
      <c r="CO24" s="91">
        <v>45701</v>
      </c>
      <c r="CP24" s="91" t="s">
        <v>232</v>
      </c>
      <c r="CQ24" s="10">
        <v>45757</v>
      </c>
      <c r="CR24" s="10" t="s">
        <v>232</v>
      </c>
      <c r="CS24" s="10" t="s">
        <v>232</v>
      </c>
      <c r="CT24" s="10" t="s">
        <v>232</v>
      </c>
      <c r="CU24" s="11" t="s">
        <v>232</v>
      </c>
      <c r="CV24" s="11"/>
      <c r="CW24" s="11" t="s">
        <v>232</v>
      </c>
      <c r="CX24" s="11" t="s">
        <v>232</v>
      </c>
      <c r="CY24" s="11"/>
      <c r="CZ24" s="11"/>
    </row>
    <row r="25" spans="2:104" ht="50.25" customHeight="1">
      <c r="B25" s="331">
        <v>21</v>
      </c>
      <c r="C25" s="321" t="s">
        <v>87</v>
      </c>
      <c r="D25" s="376" t="s">
        <v>88</v>
      </c>
      <c r="E25" s="376" t="s">
        <v>295</v>
      </c>
      <c r="F25" s="377" t="s">
        <v>296</v>
      </c>
      <c r="G25" s="439" t="s">
        <v>297</v>
      </c>
      <c r="H25" s="319">
        <v>45572</v>
      </c>
      <c r="I25" s="380">
        <f t="shared" si="0"/>
        <v>46301</v>
      </c>
      <c r="J25" s="319">
        <v>45573</v>
      </c>
      <c r="K25" s="380">
        <f t="shared" si="1"/>
        <v>46302</v>
      </c>
      <c r="L25" s="319">
        <v>45574</v>
      </c>
      <c r="M25" s="380">
        <f t="shared" si="2"/>
        <v>46303</v>
      </c>
      <c r="N25" s="91">
        <v>45567</v>
      </c>
      <c r="O25" s="380">
        <f t="shared" si="19"/>
        <v>46296</v>
      </c>
      <c r="P25" s="91">
        <v>45568</v>
      </c>
      <c r="Q25" s="91">
        <f t="shared" si="20"/>
        <v>46297</v>
      </c>
      <c r="R25" s="319">
        <v>45581</v>
      </c>
      <c r="S25" s="380">
        <f t="shared" si="21"/>
        <v>46310</v>
      </c>
      <c r="T25" s="317">
        <v>45825</v>
      </c>
      <c r="U25" s="317">
        <v>46555</v>
      </c>
      <c r="V25" s="379">
        <v>45615</v>
      </c>
      <c r="W25" s="380">
        <f>IF(ISBLANK(V25),"",EDATE(V25,24))-1</f>
        <v>46344</v>
      </c>
      <c r="X25" s="319">
        <v>45604</v>
      </c>
      <c r="Y25" s="380">
        <f>IF(ISBLANK(X25),"",EDATE(X25,24))-1</f>
        <v>46333</v>
      </c>
      <c r="Z25" s="317" t="s">
        <v>232</v>
      </c>
      <c r="AA25" s="317" t="s">
        <v>232</v>
      </c>
      <c r="AB25" s="317" t="s">
        <v>232</v>
      </c>
      <c r="AC25" s="317" t="s">
        <v>232</v>
      </c>
      <c r="AD25" s="319">
        <v>45795</v>
      </c>
      <c r="AE25" s="91">
        <f>IF(ISBLANK(AD25),"",EDATE(AD25,24))-1</f>
        <v>46524</v>
      </c>
      <c r="AF25" s="319">
        <v>45569</v>
      </c>
      <c r="AG25" s="380">
        <f>IF(ISBLANK(AF25),"",EDATE(AF25,24))-1</f>
        <v>46298</v>
      </c>
      <c r="AH25" s="91">
        <v>45577</v>
      </c>
      <c r="AI25" s="380">
        <f>IF(ISBLANK(AH25),"",EDATE(AH25,24))-1</f>
        <v>46306</v>
      </c>
      <c r="AJ25" s="91">
        <v>45579</v>
      </c>
      <c r="AK25" s="380">
        <f>IF(ISBLANK(AJ25),"",EDATE(AJ25,24))-1</f>
        <v>46308</v>
      </c>
      <c r="AL25" s="319">
        <v>45748</v>
      </c>
      <c r="AM25" s="380">
        <f t="shared" ref="AM25:AM33" si="22">IF(ISBLANK(AL25),"",EDATE(AL25,12))-1</f>
        <v>46112</v>
      </c>
      <c r="AN25" s="91">
        <v>45560</v>
      </c>
      <c r="AO25" s="380">
        <f t="shared" si="7"/>
        <v>46289</v>
      </c>
      <c r="AP25" s="91">
        <v>45709</v>
      </c>
      <c r="AQ25" s="91">
        <f t="shared" si="8"/>
        <v>46438</v>
      </c>
      <c r="AR25" s="91">
        <v>45784</v>
      </c>
      <c r="AS25" s="91">
        <f t="shared" si="9"/>
        <v>46513</v>
      </c>
      <c r="AT25" s="91">
        <v>45782</v>
      </c>
      <c r="AU25" s="91">
        <f>IF(ISBLANK(AT25),"",EDATE(AT25,24))</f>
        <v>46512</v>
      </c>
      <c r="AV25" s="91">
        <v>45782</v>
      </c>
      <c r="AW25" s="317">
        <v>46512</v>
      </c>
      <c r="AX25" s="317" t="s">
        <v>232</v>
      </c>
      <c r="AY25" s="317" t="s">
        <v>232</v>
      </c>
      <c r="AZ25" s="317" t="s">
        <v>232</v>
      </c>
      <c r="BA25" s="317" t="s">
        <v>232</v>
      </c>
      <c r="BB25" s="317" t="s">
        <v>232</v>
      </c>
      <c r="BC25" s="317" t="s">
        <v>232</v>
      </c>
      <c r="BD25" s="317" t="s">
        <v>232</v>
      </c>
      <c r="BE25" s="317" t="s">
        <v>232</v>
      </c>
      <c r="BF25" s="317" t="s">
        <v>232</v>
      </c>
      <c r="BG25" s="317" t="s">
        <v>232</v>
      </c>
      <c r="BH25" s="317" t="s">
        <v>232</v>
      </c>
      <c r="BI25" s="317" t="s">
        <v>232</v>
      </c>
      <c r="BJ25" s="317" t="s">
        <v>232</v>
      </c>
      <c r="BK25" s="317" t="s">
        <v>232</v>
      </c>
      <c r="BL25" s="91">
        <v>45575</v>
      </c>
      <c r="BM25" s="380">
        <f t="shared" si="10"/>
        <v>46304</v>
      </c>
      <c r="BN25" s="91" t="s">
        <v>232</v>
      </c>
      <c r="BO25" s="91" t="s">
        <v>232</v>
      </c>
      <c r="BP25" s="91" t="s">
        <v>232</v>
      </c>
      <c r="BQ25" s="91" t="s">
        <v>232</v>
      </c>
      <c r="BR25" s="91" t="s">
        <v>232</v>
      </c>
      <c r="BS25" s="91" t="s">
        <v>232</v>
      </c>
      <c r="BT25" s="91" t="s">
        <v>232</v>
      </c>
      <c r="BU25" s="91">
        <v>45583</v>
      </c>
      <c r="BV25" s="91">
        <v>45594</v>
      </c>
      <c r="BW25" s="91">
        <v>45584</v>
      </c>
      <c r="BX25" s="91">
        <v>45584</v>
      </c>
      <c r="BY25" s="91">
        <v>45582</v>
      </c>
      <c r="BZ25" s="91">
        <v>45588</v>
      </c>
      <c r="CA25" s="91">
        <v>45593</v>
      </c>
      <c r="CB25" s="91" t="s">
        <v>232</v>
      </c>
      <c r="CC25" s="91">
        <v>45593</v>
      </c>
      <c r="CD25" s="91">
        <v>45590</v>
      </c>
      <c r="CE25" s="91">
        <v>45595</v>
      </c>
      <c r="CF25" s="91">
        <v>45619</v>
      </c>
      <c r="CG25" s="91">
        <v>45622</v>
      </c>
      <c r="CH25" s="91">
        <v>45627</v>
      </c>
      <c r="CI25" s="91">
        <v>45602</v>
      </c>
      <c r="CJ25" s="91">
        <v>45609</v>
      </c>
      <c r="CK25" s="91" t="s">
        <v>232</v>
      </c>
      <c r="CL25" s="11" t="s">
        <v>232</v>
      </c>
      <c r="CM25" s="91" t="s">
        <v>232</v>
      </c>
      <c r="CN25" s="91">
        <v>45639</v>
      </c>
      <c r="CO25" s="91">
        <v>45699</v>
      </c>
      <c r="CP25" s="91" t="s">
        <v>232</v>
      </c>
      <c r="CQ25" s="10">
        <v>45746</v>
      </c>
      <c r="CR25" s="10" t="s">
        <v>232</v>
      </c>
      <c r="CS25" s="10" t="s">
        <v>232</v>
      </c>
      <c r="CT25" s="10" t="s">
        <v>232</v>
      </c>
      <c r="CU25" s="11" t="s">
        <v>232</v>
      </c>
      <c r="CV25" s="11"/>
      <c r="CW25" s="11" t="s">
        <v>232</v>
      </c>
      <c r="CX25" s="11" t="s">
        <v>232</v>
      </c>
      <c r="CY25" s="11"/>
      <c r="CZ25" s="11"/>
    </row>
    <row r="26" spans="2:104" ht="50.25" customHeight="1">
      <c r="B26" s="331">
        <v>22</v>
      </c>
      <c r="C26" s="321" t="s">
        <v>90</v>
      </c>
      <c r="D26" s="376" t="s">
        <v>91</v>
      </c>
      <c r="E26" s="376" t="s">
        <v>298</v>
      </c>
      <c r="F26" s="377" t="s">
        <v>296</v>
      </c>
      <c r="G26" s="439" t="s">
        <v>297</v>
      </c>
      <c r="H26" s="319">
        <v>45572</v>
      </c>
      <c r="I26" s="380">
        <f t="shared" si="0"/>
        <v>46301</v>
      </c>
      <c r="J26" s="319">
        <v>45573</v>
      </c>
      <c r="K26" s="380">
        <f t="shared" si="1"/>
        <v>46302</v>
      </c>
      <c r="L26" s="319">
        <v>45574</v>
      </c>
      <c r="M26" s="380">
        <f t="shared" si="2"/>
        <v>46303</v>
      </c>
      <c r="N26" s="91">
        <v>45567</v>
      </c>
      <c r="O26" s="380">
        <f t="shared" si="19"/>
        <v>46296</v>
      </c>
      <c r="P26" s="91">
        <v>45568</v>
      </c>
      <c r="Q26" s="91">
        <f t="shared" si="20"/>
        <v>46297</v>
      </c>
      <c r="R26" s="319">
        <v>45581</v>
      </c>
      <c r="S26" s="380">
        <f t="shared" si="21"/>
        <v>46310</v>
      </c>
      <c r="T26" s="91">
        <v>45611</v>
      </c>
      <c r="U26" s="380">
        <f>IF(ISBLANK(T26),"",EDATE(T26,24))-1</f>
        <v>46340</v>
      </c>
      <c r="V26" s="317" t="s">
        <v>232</v>
      </c>
      <c r="W26" s="317" t="s">
        <v>232</v>
      </c>
      <c r="X26" s="317" t="s">
        <v>232</v>
      </c>
      <c r="Y26" s="317" t="s">
        <v>232</v>
      </c>
      <c r="Z26" s="319">
        <v>45779</v>
      </c>
      <c r="AA26" s="91">
        <f>IF(ISBLANK(Z26),"",EDATE(Z26,24))-1</f>
        <v>46508</v>
      </c>
      <c r="AB26" s="317" t="s">
        <v>232</v>
      </c>
      <c r="AC26" s="317" t="s">
        <v>232</v>
      </c>
      <c r="AD26" s="319">
        <v>45795</v>
      </c>
      <c r="AE26" s="91">
        <f>IF(ISBLANK(AD26),"",EDATE(AD26,24))-1</f>
        <v>46524</v>
      </c>
      <c r="AF26" s="319">
        <v>45569</v>
      </c>
      <c r="AG26" s="380">
        <f>IF(ISBLANK(AF26),"",EDATE(AF26,24))-1</f>
        <v>46298</v>
      </c>
      <c r="AH26" s="91">
        <v>45577</v>
      </c>
      <c r="AI26" s="380">
        <f>IF(ISBLANK(AH26),"",EDATE(AH26,24))-1</f>
        <v>46306</v>
      </c>
      <c r="AJ26" s="91">
        <v>45579</v>
      </c>
      <c r="AK26" s="380">
        <f>IF(ISBLANK(AJ26),"",EDATE(AJ26,24))-1</f>
        <v>46308</v>
      </c>
      <c r="AL26" s="319">
        <v>45748</v>
      </c>
      <c r="AM26" s="380">
        <f t="shared" si="22"/>
        <v>46112</v>
      </c>
      <c r="AN26" s="91">
        <v>45560</v>
      </c>
      <c r="AO26" s="380">
        <f t="shared" si="7"/>
        <v>46289</v>
      </c>
      <c r="AP26" s="91">
        <v>45709</v>
      </c>
      <c r="AQ26" s="91">
        <f t="shared" si="8"/>
        <v>46438</v>
      </c>
      <c r="AR26" s="91">
        <v>45784</v>
      </c>
      <c r="AS26" s="91">
        <f t="shared" si="9"/>
        <v>46513</v>
      </c>
      <c r="AT26" s="91">
        <v>45782</v>
      </c>
      <c r="AU26" s="91">
        <f>IF(ISBLANK(AT26),"",EDATE(AT26,24))</f>
        <v>46512</v>
      </c>
      <c r="AV26" s="317" t="s">
        <v>232</v>
      </c>
      <c r="AW26" s="317" t="s">
        <v>232</v>
      </c>
      <c r="AX26" s="317" t="s">
        <v>232</v>
      </c>
      <c r="AY26" s="317" t="s">
        <v>232</v>
      </c>
      <c r="AZ26" s="317" t="s">
        <v>232</v>
      </c>
      <c r="BA26" s="317" t="s">
        <v>232</v>
      </c>
      <c r="BB26" s="317" t="s">
        <v>232</v>
      </c>
      <c r="BC26" s="317" t="s">
        <v>232</v>
      </c>
      <c r="BD26" s="317" t="s">
        <v>232</v>
      </c>
      <c r="BE26" s="317" t="s">
        <v>232</v>
      </c>
      <c r="BF26" s="317" t="s">
        <v>232</v>
      </c>
      <c r="BG26" s="317" t="s">
        <v>232</v>
      </c>
      <c r="BH26" s="317" t="s">
        <v>232</v>
      </c>
      <c r="BI26" s="317" t="s">
        <v>232</v>
      </c>
      <c r="BJ26" s="317" t="s">
        <v>232</v>
      </c>
      <c r="BK26" s="317" t="s">
        <v>232</v>
      </c>
      <c r="BL26" s="91">
        <v>45575</v>
      </c>
      <c r="BM26" s="380">
        <f t="shared" si="10"/>
        <v>46304</v>
      </c>
      <c r="BN26" s="91" t="s">
        <v>232</v>
      </c>
      <c r="BO26" s="91" t="s">
        <v>232</v>
      </c>
      <c r="BP26" s="91" t="s">
        <v>232</v>
      </c>
      <c r="BQ26" s="91" t="s">
        <v>232</v>
      </c>
      <c r="BR26" s="91" t="s">
        <v>232</v>
      </c>
      <c r="BS26" s="91" t="s">
        <v>232</v>
      </c>
      <c r="BT26" s="91" t="s">
        <v>232</v>
      </c>
      <c r="BU26" s="91">
        <v>45583</v>
      </c>
      <c r="BV26" s="91">
        <v>45594</v>
      </c>
      <c r="BW26" s="91">
        <v>45584</v>
      </c>
      <c r="BX26" s="91">
        <v>45584</v>
      </c>
      <c r="BY26" s="91">
        <v>45582</v>
      </c>
      <c r="BZ26" s="91">
        <v>45588</v>
      </c>
      <c r="CA26" s="91">
        <v>45593</v>
      </c>
      <c r="CB26" s="91" t="s">
        <v>232</v>
      </c>
      <c r="CC26" s="91">
        <v>45593</v>
      </c>
      <c r="CD26" s="91">
        <v>45590</v>
      </c>
      <c r="CE26" s="91">
        <v>45595</v>
      </c>
      <c r="CF26" s="91">
        <v>45619</v>
      </c>
      <c r="CG26" s="91">
        <v>45622</v>
      </c>
      <c r="CH26" s="91">
        <v>45627</v>
      </c>
      <c r="CI26" s="91">
        <v>45602</v>
      </c>
      <c r="CJ26" s="91">
        <v>45609</v>
      </c>
      <c r="CK26" s="91" t="s">
        <v>232</v>
      </c>
      <c r="CL26" s="11" t="s">
        <v>232</v>
      </c>
      <c r="CM26" s="91" t="s">
        <v>232</v>
      </c>
      <c r="CN26" s="91">
        <v>45639</v>
      </c>
      <c r="CO26" s="91">
        <v>45700</v>
      </c>
      <c r="CP26" s="91" t="s">
        <v>232</v>
      </c>
      <c r="CQ26" s="10">
        <v>45743</v>
      </c>
      <c r="CR26" s="10" t="s">
        <v>232</v>
      </c>
      <c r="CS26" s="10" t="s">
        <v>232</v>
      </c>
      <c r="CT26" s="10" t="s">
        <v>232</v>
      </c>
      <c r="CU26" s="11" t="s">
        <v>232</v>
      </c>
      <c r="CV26" s="11">
        <v>46070</v>
      </c>
      <c r="CW26" s="11" t="s">
        <v>232</v>
      </c>
      <c r="CX26" s="11" t="s">
        <v>232</v>
      </c>
      <c r="CY26" s="11"/>
      <c r="CZ26" s="10">
        <v>46017</v>
      </c>
    </row>
    <row r="27" spans="2:104" ht="73.5" customHeight="1">
      <c r="B27" s="331">
        <v>23</v>
      </c>
      <c r="C27" s="321" t="s">
        <v>299</v>
      </c>
      <c r="D27" s="376" t="s">
        <v>300</v>
      </c>
      <c r="E27" s="376" t="s">
        <v>301</v>
      </c>
      <c r="F27" s="377" t="s">
        <v>253</v>
      </c>
      <c r="G27" s="440" t="s">
        <v>232</v>
      </c>
      <c r="H27" s="319">
        <v>45572</v>
      </c>
      <c r="I27" s="380">
        <f t="shared" si="0"/>
        <v>46301</v>
      </c>
      <c r="J27" s="319">
        <v>45573</v>
      </c>
      <c r="K27" s="380">
        <f t="shared" si="1"/>
        <v>46302</v>
      </c>
      <c r="L27" s="319">
        <v>45574</v>
      </c>
      <c r="M27" s="380">
        <f t="shared" si="2"/>
        <v>46303</v>
      </c>
      <c r="N27" s="91">
        <v>45567</v>
      </c>
      <c r="O27" s="380">
        <f t="shared" si="19"/>
        <v>46296</v>
      </c>
      <c r="P27" s="91">
        <v>45568</v>
      </c>
      <c r="Q27" s="91">
        <f t="shared" si="20"/>
        <v>46297</v>
      </c>
      <c r="R27" s="319">
        <v>45581</v>
      </c>
      <c r="S27" s="380">
        <f t="shared" si="21"/>
        <v>46310</v>
      </c>
      <c r="T27" s="91">
        <v>45611</v>
      </c>
      <c r="U27" s="380">
        <f>IF(ISBLANK(T27),"",EDATE(T27,24))-1</f>
        <v>46340</v>
      </c>
      <c r="V27" s="379">
        <v>45615</v>
      </c>
      <c r="W27" s="380">
        <f>IF(ISBLANK(V27),"",EDATE(V27,24))-1</f>
        <v>46344</v>
      </c>
      <c r="X27" s="319">
        <v>45604</v>
      </c>
      <c r="Y27" s="380">
        <f>IF(ISBLANK(X27),"",EDATE(X27,24))-1</f>
        <v>46333</v>
      </c>
      <c r="Z27" s="319">
        <v>45779</v>
      </c>
      <c r="AA27" s="91">
        <f>IF(ISBLANK(Z27),"",EDATE(Z27,24))-1</f>
        <v>46508</v>
      </c>
      <c r="AB27" s="317" t="s">
        <v>232</v>
      </c>
      <c r="AC27" s="317" t="s">
        <v>232</v>
      </c>
      <c r="AD27" s="319">
        <v>45795</v>
      </c>
      <c r="AE27" s="91">
        <f>IF(ISBLANK(AD27),"",EDATE(AD27,24))-1</f>
        <v>46524</v>
      </c>
      <c r="AF27" s="319">
        <v>45569</v>
      </c>
      <c r="AG27" s="380">
        <f>IF(ISBLANK(AF27),"",EDATE(AF27,24))</f>
        <v>46299</v>
      </c>
      <c r="AH27" s="91">
        <v>45577</v>
      </c>
      <c r="AI27" s="380">
        <f>IF(ISBLANK(AH27),"",EDATE(AH27,24))</f>
        <v>46307</v>
      </c>
      <c r="AJ27" s="91">
        <v>45579</v>
      </c>
      <c r="AK27" s="380">
        <f>IF(ISBLANK(AJ27),"",EDATE(AJ27,24))</f>
        <v>46309</v>
      </c>
      <c r="AL27" s="319">
        <v>45748</v>
      </c>
      <c r="AM27" s="380">
        <f t="shared" si="22"/>
        <v>46112</v>
      </c>
      <c r="AN27" s="91">
        <v>45560</v>
      </c>
      <c r="AO27" s="380">
        <f t="shared" si="7"/>
        <v>46289</v>
      </c>
      <c r="AP27" s="91">
        <v>45709</v>
      </c>
      <c r="AQ27" s="91">
        <f t="shared" si="8"/>
        <v>46438</v>
      </c>
      <c r="AR27" s="91">
        <v>45784</v>
      </c>
      <c r="AS27" s="91">
        <f t="shared" si="9"/>
        <v>46513</v>
      </c>
      <c r="AT27" s="317" t="s">
        <v>232</v>
      </c>
      <c r="AU27" s="317" t="s">
        <v>232</v>
      </c>
      <c r="AV27" s="317" t="s">
        <v>232</v>
      </c>
      <c r="AW27" s="317" t="s">
        <v>232</v>
      </c>
      <c r="AX27" s="317" t="s">
        <v>232</v>
      </c>
      <c r="AY27" s="317" t="s">
        <v>232</v>
      </c>
      <c r="AZ27" s="317" t="s">
        <v>232</v>
      </c>
      <c r="BA27" s="317" t="s">
        <v>232</v>
      </c>
      <c r="BB27" s="317" t="s">
        <v>232</v>
      </c>
      <c r="BC27" s="317" t="s">
        <v>232</v>
      </c>
      <c r="BD27" s="317" t="s">
        <v>232</v>
      </c>
      <c r="BE27" s="317" t="s">
        <v>232</v>
      </c>
      <c r="BF27" s="317" t="s">
        <v>232</v>
      </c>
      <c r="BG27" s="317" t="s">
        <v>232</v>
      </c>
      <c r="BH27" s="317" t="s">
        <v>232</v>
      </c>
      <c r="BI27" s="317" t="s">
        <v>232</v>
      </c>
      <c r="BJ27" s="317" t="s">
        <v>232</v>
      </c>
      <c r="BK27" s="317" t="s">
        <v>232</v>
      </c>
      <c r="BL27" s="91">
        <v>45575</v>
      </c>
      <c r="BM27" s="380">
        <f t="shared" si="10"/>
        <v>46304</v>
      </c>
      <c r="BN27" s="91" t="s">
        <v>232</v>
      </c>
      <c r="BO27" s="91" t="s">
        <v>232</v>
      </c>
      <c r="BP27" s="91" t="s">
        <v>232</v>
      </c>
      <c r="BQ27" s="91" t="s">
        <v>232</v>
      </c>
      <c r="BR27" s="91" t="s">
        <v>232</v>
      </c>
      <c r="BS27" s="91" t="s">
        <v>232</v>
      </c>
      <c r="BT27" s="91" t="s">
        <v>232</v>
      </c>
      <c r="BU27" s="91">
        <v>45583</v>
      </c>
      <c r="BV27" s="91">
        <v>45594</v>
      </c>
      <c r="BW27" s="91">
        <v>45584</v>
      </c>
      <c r="BX27" s="91">
        <v>45584</v>
      </c>
      <c r="BY27" s="91">
        <v>45582</v>
      </c>
      <c r="BZ27" s="91">
        <v>45588</v>
      </c>
      <c r="CA27" s="91">
        <v>45593</v>
      </c>
      <c r="CB27" s="91" t="s">
        <v>232</v>
      </c>
      <c r="CC27" s="91">
        <v>45593</v>
      </c>
      <c r="CD27" s="91">
        <v>45590</v>
      </c>
      <c r="CE27" s="91" t="s">
        <v>232</v>
      </c>
      <c r="CF27" s="91">
        <v>45619</v>
      </c>
      <c r="CG27" s="91">
        <v>45622</v>
      </c>
      <c r="CH27" s="91">
        <v>45627</v>
      </c>
      <c r="CI27" s="91">
        <v>45602</v>
      </c>
      <c r="CJ27" s="91">
        <v>45609</v>
      </c>
      <c r="CK27" s="91" t="s">
        <v>232</v>
      </c>
      <c r="CL27" s="11" t="s">
        <v>232</v>
      </c>
      <c r="CM27" s="91" t="s">
        <v>232</v>
      </c>
      <c r="CN27" s="91">
        <v>45639</v>
      </c>
      <c r="CO27" s="91">
        <v>45699</v>
      </c>
      <c r="CP27" s="91" t="s">
        <v>232</v>
      </c>
      <c r="CQ27" s="10">
        <v>45743</v>
      </c>
      <c r="CR27" s="10" t="s">
        <v>232</v>
      </c>
      <c r="CS27" s="10" t="s">
        <v>232</v>
      </c>
      <c r="CT27" s="10" t="s">
        <v>232</v>
      </c>
      <c r="CU27" s="11" t="s">
        <v>232</v>
      </c>
      <c r="CV27" s="11"/>
      <c r="CW27" s="11" t="s">
        <v>232</v>
      </c>
      <c r="CX27" s="11" t="s">
        <v>232</v>
      </c>
      <c r="CY27" s="11"/>
      <c r="CZ27" s="11"/>
    </row>
    <row r="28" spans="2:104" ht="87.75" customHeight="1">
      <c r="B28" s="331">
        <v>24</v>
      </c>
      <c r="C28" s="321" t="s">
        <v>302</v>
      </c>
      <c r="D28" s="376" t="s">
        <v>303</v>
      </c>
      <c r="E28" s="376" t="s">
        <v>304</v>
      </c>
      <c r="F28" s="377" t="s">
        <v>305</v>
      </c>
      <c r="G28" s="442" t="s">
        <v>306</v>
      </c>
      <c r="H28" s="319">
        <v>45572</v>
      </c>
      <c r="I28" s="380">
        <f t="shared" si="0"/>
        <v>46301</v>
      </c>
      <c r="J28" s="319">
        <v>45573</v>
      </c>
      <c r="K28" s="380">
        <f t="shared" si="1"/>
        <v>46302</v>
      </c>
      <c r="L28" s="319">
        <v>45574</v>
      </c>
      <c r="M28" s="380">
        <f t="shared" si="2"/>
        <v>46303</v>
      </c>
      <c r="N28" s="91">
        <v>45567</v>
      </c>
      <c r="O28" s="380">
        <f t="shared" si="19"/>
        <v>46296</v>
      </c>
      <c r="P28" s="91">
        <v>45568</v>
      </c>
      <c r="Q28" s="91">
        <f t="shared" si="20"/>
        <v>46297</v>
      </c>
      <c r="R28" s="319">
        <v>45581</v>
      </c>
      <c r="S28" s="380">
        <f t="shared" si="21"/>
        <v>46310</v>
      </c>
      <c r="T28" s="317" t="s">
        <v>232</v>
      </c>
      <c r="U28" s="317" t="s">
        <v>232</v>
      </c>
      <c r="V28" s="91">
        <v>45695</v>
      </c>
      <c r="W28" s="91">
        <f>IF(ISBLANK(V28),"",EDATE(V28,24))-1</f>
        <v>46424</v>
      </c>
      <c r="X28" s="319">
        <v>45604</v>
      </c>
      <c r="Y28" s="380">
        <f>IF(ISBLANK(X28),"",EDATE(X28,24))-1</f>
        <v>46333</v>
      </c>
      <c r="Z28" s="317" t="s">
        <v>232</v>
      </c>
      <c r="AA28" s="317" t="s">
        <v>232</v>
      </c>
      <c r="AB28" s="317" t="s">
        <v>232</v>
      </c>
      <c r="AC28" s="317" t="s">
        <v>232</v>
      </c>
      <c r="AD28" s="319">
        <v>45795</v>
      </c>
      <c r="AE28" s="91">
        <f>IF(ISBLANK(AD28),"",EDATE(AD28,24))-1</f>
        <v>46524</v>
      </c>
      <c r="AF28" s="319">
        <v>45569</v>
      </c>
      <c r="AG28" s="91">
        <f>IF(ISBLANK(AF28),"",EDATE(AF28,24))-1</f>
        <v>46298</v>
      </c>
      <c r="AH28" s="91">
        <v>45577</v>
      </c>
      <c r="AI28" s="91">
        <f t="shared" ref="AI28:AI91" si="23">IF(ISBLANK(AH28),"",EDATE(AH28,24))-1</f>
        <v>46306</v>
      </c>
      <c r="AJ28" s="91">
        <v>45579</v>
      </c>
      <c r="AK28" s="91">
        <f t="shared" ref="AK28:AK91" si="24">IF(ISBLANK(AJ28),"",EDATE(AJ28,24))-1</f>
        <v>46308</v>
      </c>
      <c r="AL28" s="319">
        <v>45748</v>
      </c>
      <c r="AM28" s="380">
        <f t="shared" si="22"/>
        <v>46112</v>
      </c>
      <c r="AN28" s="91">
        <v>45560</v>
      </c>
      <c r="AO28" s="380">
        <f t="shared" si="7"/>
        <v>46289</v>
      </c>
      <c r="AP28" s="91">
        <v>45709</v>
      </c>
      <c r="AQ28" s="91">
        <f t="shared" si="8"/>
        <v>46438</v>
      </c>
      <c r="AR28" s="91">
        <v>45784</v>
      </c>
      <c r="AS28" s="91">
        <f t="shared" si="9"/>
        <v>46513</v>
      </c>
      <c r="AT28" s="317" t="s">
        <v>232</v>
      </c>
      <c r="AU28" s="317" t="s">
        <v>232</v>
      </c>
      <c r="AV28" s="317" t="s">
        <v>232</v>
      </c>
      <c r="AW28" s="317" t="s">
        <v>232</v>
      </c>
      <c r="AX28" s="91">
        <v>45781</v>
      </c>
      <c r="AY28" s="91">
        <f>IF(ISBLANK(AX28),"",EDATE(AX28,24))-1</f>
        <v>46510</v>
      </c>
      <c r="AZ28" s="317">
        <v>45812</v>
      </c>
      <c r="BA28" s="91">
        <f>IF(ISBLANK(AZ28),"",EDATE(AZ28,24))-1</f>
        <v>46541</v>
      </c>
      <c r="BB28" s="91">
        <v>45821</v>
      </c>
      <c r="BC28" s="91">
        <f>IF(ISBLANK(BB28),"",EDATE(BB28,24))-1</f>
        <v>46550</v>
      </c>
      <c r="BD28" s="317" t="s">
        <v>232</v>
      </c>
      <c r="BE28" s="317" t="s">
        <v>232</v>
      </c>
      <c r="BF28" s="317" t="s">
        <v>232</v>
      </c>
      <c r="BG28" s="317" t="s">
        <v>232</v>
      </c>
      <c r="BH28" s="317" t="s">
        <v>232</v>
      </c>
      <c r="BI28" s="317" t="s">
        <v>232</v>
      </c>
      <c r="BJ28" s="317" t="s">
        <v>232</v>
      </c>
      <c r="BK28" s="317" t="s">
        <v>232</v>
      </c>
      <c r="BL28" s="91">
        <v>45575</v>
      </c>
      <c r="BM28" s="380">
        <f t="shared" si="10"/>
        <v>46304</v>
      </c>
      <c r="BN28" s="91" t="s">
        <v>232</v>
      </c>
      <c r="BO28" s="91" t="s">
        <v>232</v>
      </c>
      <c r="BP28" s="91" t="s">
        <v>232</v>
      </c>
      <c r="BQ28" s="91" t="s">
        <v>232</v>
      </c>
      <c r="BR28" s="91" t="s">
        <v>232</v>
      </c>
      <c r="BS28" s="91" t="s">
        <v>232</v>
      </c>
      <c r="BT28" s="91" t="s">
        <v>232</v>
      </c>
      <c r="BU28" s="91">
        <v>45583</v>
      </c>
      <c r="BV28" s="91">
        <v>45594</v>
      </c>
      <c r="BW28" s="91">
        <v>45584</v>
      </c>
      <c r="BX28" s="91">
        <v>45584</v>
      </c>
      <c r="BY28" s="91">
        <v>45582</v>
      </c>
      <c r="BZ28" s="91">
        <v>45588</v>
      </c>
      <c r="CA28" s="91">
        <v>45593</v>
      </c>
      <c r="CB28" s="91">
        <v>45790</v>
      </c>
      <c r="CC28" s="91">
        <v>45593</v>
      </c>
      <c r="CD28" s="91">
        <v>45590</v>
      </c>
      <c r="CE28" s="91" t="s">
        <v>232</v>
      </c>
      <c r="CF28" s="91">
        <v>45619</v>
      </c>
      <c r="CG28" s="91">
        <v>45622</v>
      </c>
      <c r="CH28" s="91">
        <v>45627</v>
      </c>
      <c r="CI28" s="91">
        <v>45602</v>
      </c>
      <c r="CJ28" s="91">
        <v>45609</v>
      </c>
      <c r="CK28" s="91" t="s">
        <v>232</v>
      </c>
      <c r="CL28" s="427" t="s">
        <v>232</v>
      </c>
      <c r="CM28" s="91" t="s">
        <v>232</v>
      </c>
      <c r="CN28" s="91">
        <v>45639</v>
      </c>
      <c r="CO28" s="91">
        <v>45699</v>
      </c>
      <c r="CP28" s="91" t="s">
        <v>232</v>
      </c>
      <c r="CQ28" s="10">
        <v>45746</v>
      </c>
      <c r="CR28" s="10" t="s">
        <v>232</v>
      </c>
      <c r="CS28" s="10" t="s">
        <v>232</v>
      </c>
      <c r="CT28" s="10" t="s">
        <v>232</v>
      </c>
      <c r="CU28" s="10">
        <v>45931</v>
      </c>
      <c r="CV28" s="10"/>
      <c r="CW28" s="11" t="s">
        <v>232</v>
      </c>
      <c r="CX28" s="11" t="s">
        <v>232</v>
      </c>
      <c r="CY28" s="10">
        <v>45951</v>
      </c>
      <c r="CZ28" s="10">
        <v>46017</v>
      </c>
    </row>
    <row r="29" spans="2:104" ht="79.5" customHeight="1">
      <c r="B29" s="331">
        <v>25</v>
      </c>
      <c r="C29" s="321" t="s">
        <v>307</v>
      </c>
      <c r="D29" s="376" t="s">
        <v>308</v>
      </c>
      <c r="E29" s="376" t="s">
        <v>309</v>
      </c>
      <c r="F29" s="377" t="s">
        <v>310</v>
      </c>
      <c r="G29" s="440" t="s">
        <v>311</v>
      </c>
      <c r="H29" s="319">
        <v>45572</v>
      </c>
      <c r="I29" s="380">
        <f t="shared" si="0"/>
        <v>46301</v>
      </c>
      <c r="J29" s="319">
        <v>45573</v>
      </c>
      <c r="K29" s="380">
        <f t="shared" si="1"/>
        <v>46302</v>
      </c>
      <c r="L29" s="319">
        <v>45574</v>
      </c>
      <c r="M29" s="380">
        <f t="shared" si="2"/>
        <v>46303</v>
      </c>
      <c r="N29" s="91">
        <v>45567</v>
      </c>
      <c r="O29" s="380">
        <f t="shared" si="19"/>
        <v>46296</v>
      </c>
      <c r="P29" s="91">
        <v>45568</v>
      </c>
      <c r="Q29" s="91">
        <f t="shared" si="20"/>
        <v>46297</v>
      </c>
      <c r="R29" s="319">
        <v>45581</v>
      </c>
      <c r="S29" s="380">
        <f t="shared" si="21"/>
        <v>46310</v>
      </c>
      <c r="T29" s="91">
        <v>45611</v>
      </c>
      <c r="U29" s="380">
        <f>IF(ISBLANK(T29),"",EDATE(T29,24))-1</f>
        <v>46340</v>
      </c>
      <c r="V29" s="319">
        <v>45615</v>
      </c>
      <c r="W29" s="380">
        <f>IF(ISBLANK(V29),"",EDATE(V29,24))-1</f>
        <v>46344</v>
      </c>
      <c r="X29" s="319">
        <v>45604</v>
      </c>
      <c r="Y29" s="380">
        <f>IF(ISBLANK(X29),"",EDATE(X29,24))-1</f>
        <v>46333</v>
      </c>
      <c r="Z29" s="319">
        <v>45779</v>
      </c>
      <c r="AA29" s="91">
        <f>IF(ISBLANK(Z29),"",EDATE(Z29,24))-1</f>
        <v>46508</v>
      </c>
      <c r="AB29" s="317" t="s">
        <v>232</v>
      </c>
      <c r="AC29" s="317" t="s">
        <v>232</v>
      </c>
      <c r="AD29" s="319">
        <v>45795</v>
      </c>
      <c r="AE29" s="91">
        <f>IF(ISBLANK(AD29),"",EDATE(AD29,24))-1</f>
        <v>46524</v>
      </c>
      <c r="AF29" s="319">
        <v>45569</v>
      </c>
      <c r="AG29" s="380">
        <f>IF(ISBLANK(AF29),"",EDATE(AF29,24))-1</f>
        <v>46298</v>
      </c>
      <c r="AH29" s="91">
        <v>45577</v>
      </c>
      <c r="AI29" s="380">
        <f t="shared" si="23"/>
        <v>46306</v>
      </c>
      <c r="AJ29" s="91">
        <v>45579</v>
      </c>
      <c r="AK29" s="380">
        <f t="shared" si="24"/>
        <v>46308</v>
      </c>
      <c r="AL29" s="319">
        <v>45748</v>
      </c>
      <c r="AM29" s="380">
        <f t="shared" si="22"/>
        <v>46112</v>
      </c>
      <c r="AN29" s="91">
        <v>45560</v>
      </c>
      <c r="AO29" s="380">
        <f t="shared" si="7"/>
        <v>46289</v>
      </c>
      <c r="AP29" s="91">
        <v>45709</v>
      </c>
      <c r="AQ29" s="91">
        <f t="shared" si="8"/>
        <v>46438</v>
      </c>
      <c r="AR29" s="91">
        <v>45784</v>
      </c>
      <c r="AS29" s="91">
        <f t="shared" si="9"/>
        <v>46513</v>
      </c>
      <c r="AT29" s="317" t="s">
        <v>232</v>
      </c>
      <c r="AU29" s="317" t="s">
        <v>232</v>
      </c>
      <c r="AV29" s="317" t="s">
        <v>232</v>
      </c>
      <c r="AW29" s="317" t="s">
        <v>232</v>
      </c>
      <c r="AX29" s="91">
        <v>45781</v>
      </c>
      <c r="AY29" s="91">
        <f>IF(ISBLANK(AX29),"",EDATE(AX29,24))-1</f>
        <v>46510</v>
      </c>
      <c r="AZ29" s="317">
        <v>45812</v>
      </c>
      <c r="BA29" s="91">
        <f>IF(ISBLANK(AZ29),"",EDATE(AZ29,24))-1</f>
        <v>46541</v>
      </c>
      <c r="BB29" s="317" t="s">
        <v>232</v>
      </c>
      <c r="BC29" s="317" t="s">
        <v>232</v>
      </c>
      <c r="BD29" s="317" t="s">
        <v>232</v>
      </c>
      <c r="BE29" s="317" t="s">
        <v>232</v>
      </c>
      <c r="BF29" s="317" t="s">
        <v>232</v>
      </c>
      <c r="BG29" s="317" t="s">
        <v>232</v>
      </c>
      <c r="BH29" s="317" t="s">
        <v>232</v>
      </c>
      <c r="BI29" s="317" t="s">
        <v>232</v>
      </c>
      <c r="BJ29" s="317" t="s">
        <v>232</v>
      </c>
      <c r="BK29" s="317" t="s">
        <v>232</v>
      </c>
      <c r="BL29" s="91">
        <v>45575</v>
      </c>
      <c r="BM29" s="380">
        <f t="shared" si="10"/>
        <v>46304</v>
      </c>
      <c r="BN29" s="91" t="s">
        <v>232</v>
      </c>
      <c r="BO29" s="91" t="s">
        <v>232</v>
      </c>
      <c r="BP29" s="91" t="s">
        <v>232</v>
      </c>
      <c r="BQ29" s="91" t="s">
        <v>232</v>
      </c>
      <c r="BR29" s="91" t="s">
        <v>232</v>
      </c>
      <c r="BS29" s="91" t="s">
        <v>232</v>
      </c>
      <c r="BT29" s="91" t="s">
        <v>232</v>
      </c>
      <c r="BU29" s="91">
        <v>45583</v>
      </c>
      <c r="BV29" s="91">
        <v>45594</v>
      </c>
      <c r="BW29" s="91">
        <v>45584</v>
      </c>
      <c r="BX29" s="91">
        <v>45584</v>
      </c>
      <c r="BY29" s="91">
        <v>45582</v>
      </c>
      <c r="BZ29" s="91">
        <v>45588</v>
      </c>
      <c r="CA29" s="91">
        <v>45593</v>
      </c>
      <c r="CB29" s="91">
        <v>45790</v>
      </c>
      <c r="CC29" s="91">
        <v>45593</v>
      </c>
      <c r="CD29" s="91">
        <v>45590</v>
      </c>
      <c r="CE29" s="91" t="s">
        <v>232</v>
      </c>
      <c r="CF29" s="91">
        <v>45619</v>
      </c>
      <c r="CG29" s="91">
        <v>45622</v>
      </c>
      <c r="CH29" s="91">
        <v>45627</v>
      </c>
      <c r="CI29" s="91">
        <v>45602</v>
      </c>
      <c r="CJ29" s="91">
        <v>45609</v>
      </c>
      <c r="CK29" s="91" t="s">
        <v>232</v>
      </c>
      <c r="CL29" s="427" t="s">
        <v>232</v>
      </c>
      <c r="CM29" s="91" t="s">
        <v>232</v>
      </c>
      <c r="CN29" s="91">
        <v>45639</v>
      </c>
      <c r="CO29" s="91">
        <v>45699</v>
      </c>
      <c r="CP29" s="91" t="s">
        <v>232</v>
      </c>
      <c r="CQ29" s="10">
        <v>45742</v>
      </c>
      <c r="CR29" s="10" t="s">
        <v>232</v>
      </c>
      <c r="CS29" s="10" t="s">
        <v>232</v>
      </c>
      <c r="CT29" s="10" t="s">
        <v>232</v>
      </c>
      <c r="CU29" s="10">
        <v>45931</v>
      </c>
      <c r="CV29" s="10"/>
      <c r="CW29" s="11" t="s">
        <v>232</v>
      </c>
      <c r="CX29" s="10">
        <v>45913</v>
      </c>
      <c r="CY29" s="10"/>
      <c r="CZ29" s="10">
        <v>46017</v>
      </c>
    </row>
    <row r="30" spans="2:104" ht="79.150000000000006" customHeight="1">
      <c r="B30" s="331">
        <v>26</v>
      </c>
      <c r="C30" s="321" t="s">
        <v>93</v>
      </c>
      <c r="D30" s="376" t="s">
        <v>94</v>
      </c>
      <c r="E30" s="376" t="s">
        <v>312</v>
      </c>
      <c r="F30" s="377" t="s">
        <v>239</v>
      </c>
      <c r="G30" s="439" t="s">
        <v>313</v>
      </c>
      <c r="H30" s="319">
        <v>45572</v>
      </c>
      <c r="I30" s="380">
        <f t="shared" si="0"/>
        <v>46301</v>
      </c>
      <c r="J30" s="319">
        <v>45573</v>
      </c>
      <c r="K30" s="380">
        <f t="shared" si="1"/>
        <v>46302</v>
      </c>
      <c r="L30" s="319">
        <v>45574</v>
      </c>
      <c r="M30" s="380">
        <f t="shared" si="2"/>
        <v>46303</v>
      </c>
      <c r="N30" s="91">
        <v>45567</v>
      </c>
      <c r="O30" s="380">
        <f t="shared" si="19"/>
        <v>46296</v>
      </c>
      <c r="P30" s="91">
        <v>45568</v>
      </c>
      <c r="Q30" s="91">
        <f t="shared" si="20"/>
        <v>46297</v>
      </c>
      <c r="R30" s="319">
        <v>45581</v>
      </c>
      <c r="S30" s="380">
        <f t="shared" si="21"/>
        <v>46310</v>
      </c>
      <c r="T30" s="317">
        <v>45825</v>
      </c>
      <c r="U30" s="91">
        <f>IF(ISBLANK(T30),"",EDATE(T30,24))-1</f>
        <v>46554</v>
      </c>
      <c r="V30" s="91" t="s">
        <v>231</v>
      </c>
      <c r="W30" s="91" t="s">
        <v>231</v>
      </c>
      <c r="X30" s="317">
        <v>45834</v>
      </c>
      <c r="Y30" s="91">
        <f>IF(ISBLANK(X30),"",EDATE(X30,24))-1</f>
        <v>46563</v>
      </c>
      <c r="Z30" s="91" t="s">
        <v>231</v>
      </c>
      <c r="AA30" s="91" t="s">
        <v>231</v>
      </c>
      <c r="AB30" s="317" t="s">
        <v>232</v>
      </c>
      <c r="AC30" s="317" t="s">
        <v>232</v>
      </c>
      <c r="AD30" s="317" t="s">
        <v>232</v>
      </c>
      <c r="AE30" s="317" t="s">
        <v>232</v>
      </c>
      <c r="AF30" s="319">
        <v>45569</v>
      </c>
      <c r="AG30" s="380">
        <f>IF(ISBLANK(AF30),"",EDATE(AF30,24))-1</f>
        <v>46298</v>
      </c>
      <c r="AH30" s="91">
        <v>45577</v>
      </c>
      <c r="AI30" s="380">
        <f t="shared" si="23"/>
        <v>46306</v>
      </c>
      <c r="AJ30" s="91">
        <v>45579</v>
      </c>
      <c r="AK30" s="380">
        <f t="shared" si="24"/>
        <v>46308</v>
      </c>
      <c r="AL30" s="319">
        <v>45748</v>
      </c>
      <c r="AM30" s="380">
        <f t="shared" si="22"/>
        <v>46112</v>
      </c>
      <c r="AN30" s="91">
        <v>45560</v>
      </c>
      <c r="AO30" s="380">
        <f t="shared" si="7"/>
        <v>46289</v>
      </c>
      <c r="AP30" s="91">
        <v>45723</v>
      </c>
      <c r="AQ30" s="91">
        <f t="shared" si="8"/>
        <v>46452</v>
      </c>
      <c r="AR30" s="91">
        <v>45784</v>
      </c>
      <c r="AS30" s="91">
        <f t="shared" si="9"/>
        <v>46513</v>
      </c>
      <c r="AT30" s="91">
        <v>45782</v>
      </c>
      <c r="AU30" s="91">
        <f>IF(ISBLANK(AT30),"",EDATE(AT30,24))-1</f>
        <v>46511</v>
      </c>
      <c r="AV30" s="91">
        <v>45782</v>
      </c>
      <c r="AW30" s="91">
        <f>IF(ISBLANK(AV30),"",EDATE(AV30,24))-1</f>
        <v>46511</v>
      </c>
      <c r="AX30" s="91">
        <v>45660</v>
      </c>
      <c r="AY30" s="91">
        <f>IF(ISBLANK(AX30),"",EDATE(AX30,24))-1</f>
        <v>46389</v>
      </c>
      <c r="AZ30" s="317" t="s">
        <v>232</v>
      </c>
      <c r="BA30" s="317" t="s">
        <v>232</v>
      </c>
      <c r="BB30" s="91">
        <v>45480</v>
      </c>
      <c r="BC30" s="380">
        <f>IF(ISBLANK(BB30),"",EDATE(BB30,24))-1</f>
        <v>46209</v>
      </c>
      <c r="BD30" s="317" t="s">
        <v>232</v>
      </c>
      <c r="BE30" s="317" t="s">
        <v>232</v>
      </c>
      <c r="BF30" s="91">
        <v>45715</v>
      </c>
      <c r="BG30" s="90">
        <f>IF(ISBLANK(BF30),"",EDATE(BF30,24))-1</f>
        <v>46444</v>
      </c>
      <c r="BH30" s="317" t="s">
        <v>232</v>
      </c>
      <c r="BI30" s="317" t="s">
        <v>232</v>
      </c>
      <c r="BJ30" s="317" t="s">
        <v>232</v>
      </c>
      <c r="BK30" s="317" t="s">
        <v>232</v>
      </c>
      <c r="BL30" s="91">
        <v>45575</v>
      </c>
      <c r="BM30" s="380">
        <f t="shared" si="10"/>
        <v>46304</v>
      </c>
      <c r="BN30" s="91" t="s">
        <v>232</v>
      </c>
      <c r="BO30" s="91" t="s">
        <v>232</v>
      </c>
      <c r="BP30" s="91" t="s">
        <v>232</v>
      </c>
      <c r="BQ30" s="91" t="s">
        <v>232</v>
      </c>
      <c r="BR30" s="91" t="s">
        <v>232</v>
      </c>
      <c r="BS30" s="91" t="s">
        <v>232</v>
      </c>
      <c r="BT30" s="91">
        <v>45480</v>
      </c>
      <c r="BU30" s="91">
        <v>45583</v>
      </c>
      <c r="BV30" s="91">
        <v>45594</v>
      </c>
      <c r="BW30" s="91">
        <v>45584</v>
      </c>
      <c r="BX30" s="91">
        <v>45584</v>
      </c>
      <c r="BY30" s="91">
        <v>45582</v>
      </c>
      <c r="BZ30" s="91">
        <v>45588</v>
      </c>
      <c r="CA30" s="91">
        <v>45593</v>
      </c>
      <c r="CB30" s="91">
        <v>45790</v>
      </c>
      <c r="CC30" s="91">
        <v>45593</v>
      </c>
      <c r="CD30" s="91">
        <v>45590</v>
      </c>
      <c r="CE30" s="91" t="s">
        <v>232</v>
      </c>
      <c r="CF30" s="91">
        <v>45619</v>
      </c>
      <c r="CG30" s="91">
        <v>45622</v>
      </c>
      <c r="CH30" s="323">
        <v>45627</v>
      </c>
      <c r="CI30" s="323">
        <v>45602</v>
      </c>
      <c r="CJ30" s="323">
        <v>45609</v>
      </c>
      <c r="CK30" s="91">
        <v>45810</v>
      </c>
      <c r="CL30" s="427" t="s">
        <v>232</v>
      </c>
      <c r="CM30" s="91" t="s">
        <v>232</v>
      </c>
      <c r="CN30" s="91">
        <v>45639</v>
      </c>
      <c r="CO30" s="91">
        <v>45738</v>
      </c>
      <c r="CP30" s="91" t="s">
        <v>232</v>
      </c>
      <c r="CQ30" s="10">
        <v>45785</v>
      </c>
      <c r="CR30" s="10">
        <v>45807</v>
      </c>
      <c r="CS30" s="10">
        <v>45716</v>
      </c>
      <c r="CT30" s="10">
        <v>45828</v>
      </c>
      <c r="CU30" s="11" t="s">
        <v>232</v>
      </c>
      <c r="CV30" s="11">
        <v>46070</v>
      </c>
      <c r="CW30" s="11" t="s">
        <v>232</v>
      </c>
      <c r="CX30" s="10">
        <v>45884</v>
      </c>
      <c r="CY30" s="10">
        <v>45951</v>
      </c>
      <c r="CZ30" s="11"/>
    </row>
    <row r="31" spans="2:104" ht="79.900000000000006" customHeight="1">
      <c r="B31" s="331">
        <v>27</v>
      </c>
      <c r="C31" s="321" t="s">
        <v>314</v>
      </c>
      <c r="D31" s="376" t="s">
        <v>315</v>
      </c>
      <c r="E31" s="376" t="s">
        <v>316</v>
      </c>
      <c r="F31" s="382" t="s">
        <v>317</v>
      </c>
      <c r="G31" s="440" t="s">
        <v>318</v>
      </c>
      <c r="H31" s="319">
        <v>45572</v>
      </c>
      <c r="I31" s="380">
        <f t="shared" si="0"/>
        <v>46301</v>
      </c>
      <c r="J31" s="319">
        <v>45573</v>
      </c>
      <c r="K31" s="380">
        <f t="shared" si="1"/>
        <v>46302</v>
      </c>
      <c r="L31" s="319">
        <v>45574</v>
      </c>
      <c r="M31" s="380">
        <f t="shared" si="2"/>
        <v>46303</v>
      </c>
      <c r="N31" s="91">
        <v>45567</v>
      </c>
      <c r="O31" s="380">
        <f t="shared" si="19"/>
        <v>46296</v>
      </c>
      <c r="P31" s="91">
        <v>45568</v>
      </c>
      <c r="Q31" s="91">
        <f t="shared" si="20"/>
        <v>46297</v>
      </c>
      <c r="R31" s="319">
        <v>45581</v>
      </c>
      <c r="S31" s="380">
        <f>IF(ISBLANK(R31),"",EDATE(R31,24))-1</f>
        <v>46310</v>
      </c>
      <c r="T31" s="91" t="s">
        <v>231</v>
      </c>
      <c r="U31" s="91" t="s">
        <v>231</v>
      </c>
      <c r="V31" s="91" t="s">
        <v>231</v>
      </c>
      <c r="W31" s="91" t="s">
        <v>231</v>
      </c>
      <c r="X31" s="317">
        <v>45834</v>
      </c>
      <c r="Y31" s="91">
        <f>IF(ISBLANK(X31),"",EDATE(X31,24))-1</f>
        <v>46563</v>
      </c>
      <c r="Z31" s="317" t="s">
        <v>232</v>
      </c>
      <c r="AA31" s="317" t="s">
        <v>232</v>
      </c>
      <c r="AB31" s="317" t="s">
        <v>232</v>
      </c>
      <c r="AC31" s="317" t="s">
        <v>232</v>
      </c>
      <c r="AD31" s="319">
        <v>45795</v>
      </c>
      <c r="AE31" s="91">
        <f>IF(ISBLANK(AD31),"",EDATE(AD31,24))-1</f>
        <v>46524</v>
      </c>
      <c r="AF31" s="319">
        <v>45569</v>
      </c>
      <c r="AG31" s="91">
        <f>IF(ISBLANK(AF31),"",EDATE(AF31,24))-1</f>
        <v>46298</v>
      </c>
      <c r="AH31" s="91">
        <v>45577</v>
      </c>
      <c r="AI31" s="91">
        <f t="shared" si="23"/>
        <v>46306</v>
      </c>
      <c r="AJ31" s="91">
        <v>45579</v>
      </c>
      <c r="AK31" s="91">
        <f t="shared" si="24"/>
        <v>46308</v>
      </c>
      <c r="AL31" s="319">
        <v>45748</v>
      </c>
      <c r="AM31" s="380">
        <f t="shared" si="22"/>
        <v>46112</v>
      </c>
      <c r="AN31" s="91">
        <v>45560</v>
      </c>
      <c r="AO31" s="380">
        <f t="shared" si="7"/>
        <v>46289</v>
      </c>
      <c r="AP31" s="91">
        <v>45709</v>
      </c>
      <c r="AQ31" s="91">
        <f t="shared" si="8"/>
        <v>46438</v>
      </c>
      <c r="AR31" s="91">
        <v>45784</v>
      </c>
      <c r="AS31" s="91">
        <f t="shared" si="9"/>
        <v>46513</v>
      </c>
      <c r="AT31" s="317" t="s">
        <v>232</v>
      </c>
      <c r="AU31" s="317" t="s">
        <v>232</v>
      </c>
      <c r="AV31" s="317" t="s">
        <v>232</v>
      </c>
      <c r="AW31" s="317" t="s">
        <v>232</v>
      </c>
      <c r="AX31" s="317" t="s">
        <v>232</v>
      </c>
      <c r="AY31" s="317" t="s">
        <v>232</v>
      </c>
      <c r="AZ31" s="91">
        <v>45413</v>
      </c>
      <c r="BA31" s="380">
        <f>IF(ISBLANK(AZ31),"",EDATE(AZ31,24))-1</f>
        <v>46142</v>
      </c>
      <c r="BB31" s="91">
        <v>45474</v>
      </c>
      <c r="BC31" s="380">
        <f>IF(ISBLANK(BB31),"",EDATE(BB31,24))-1</f>
        <v>46203</v>
      </c>
      <c r="BD31" s="317" t="s">
        <v>232</v>
      </c>
      <c r="BE31" s="317" t="s">
        <v>232</v>
      </c>
      <c r="BF31" s="317" t="s">
        <v>232</v>
      </c>
      <c r="BG31" s="317" t="s">
        <v>232</v>
      </c>
      <c r="BH31" s="317" t="s">
        <v>232</v>
      </c>
      <c r="BI31" s="317" t="s">
        <v>232</v>
      </c>
      <c r="BJ31" s="317" t="s">
        <v>232</v>
      </c>
      <c r="BK31" s="317" t="s">
        <v>232</v>
      </c>
      <c r="BL31" s="91">
        <v>45575</v>
      </c>
      <c r="BM31" s="380">
        <f t="shared" si="10"/>
        <v>46304</v>
      </c>
      <c r="BN31" s="91" t="s">
        <v>232</v>
      </c>
      <c r="BO31" s="91" t="s">
        <v>232</v>
      </c>
      <c r="BP31" s="91" t="s">
        <v>232</v>
      </c>
      <c r="BQ31" s="91" t="s">
        <v>232</v>
      </c>
      <c r="BR31" s="91" t="s">
        <v>232</v>
      </c>
      <c r="BS31" s="91">
        <v>45590</v>
      </c>
      <c r="BT31" s="91" t="s">
        <v>232</v>
      </c>
      <c r="BU31" s="91">
        <v>45583</v>
      </c>
      <c r="BV31" s="91">
        <v>45594</v>
      </c>
      <c r="BW31" s="91">
        <v>45584</v>
      </c>
      <c r="BX31" s="91">
        <v>45584</v>
      </c>
      <c r="BY31" s="91">
        <v>45582</v>
      </c>
      <c r="BZ31" s="10">
        <v>46013</v>
      </c>
      <c r="CA31" s="91">
        <v>45593</v>
      </c>
      <c r="CB31" s="91" t="s">
        <v>232</v>
      </c>
      <c r="CC31" s="91">
        <v>45593</v>
      </c>
      <c r="CD31" s="91">
        <v>45706</v>
      </c>
      <c r="CE31" s="91" t="s">
        <v>232</v>
      </c>
      <c r="CF31" s="91">
        <v>45619</v>
      </c>
      <c r="CG31" s="91">
        <v>45622</v>
      </c>
      <c r="CH31" s="91">
        <v>45627</v>
      </c>
      <c r="CI31" s="91">
        <v>45602</v>
      </c>
      <c r="CJ31" s="91">
        <v>45609</v>
      </c>
      <c r="CK31" s="91" t="s">
        <v>232</v>
      </c>
      <c r="CL31" s="11" t="s">
        <v>232</v>
      </c>
      <c r="CM31" s="91" t="s">
        <v>232</v>
      </c>
      <c r="CN31" s="91">
        <v>45639</v>
      </c>
      <c r="CO31" s="91">
        <v>45699</v>
      </c>
      <c r="CP31" s="91" t="s">
        <v>232</v>
      </c>
      <c r="CQ31" s="10">
        <v>45743</v>
      </c>
      <c r="CR31" s="10" t="s">
        <v>232</v>
      </c>
      <c r="CS31" s="10" t="s">
        <v>232</v>
      </c>
      <c r="CT31" s="10" t="s">
        <v>232</v>
      </c>
      <c r="CU31" s="11" t="s">
        <v>232</v>
      </c>
      <c r="CV31" s="11">
        <v>46070</v>
      </c>
      <c r="CW31" s="11" t="s">
        <v>232</v>
      </c>
      <c r="CX31" s="11" t="s">
        <v>232</v>
      </c>
      <c r="CY31" s="11"/>
      <c r="CZ31" s="11"/>
    </row>
    <row r="32" spans="2:104" ht="160.15" customHeight="1">
      <c r="B32" s="331">
        <v>28</v>
      </c>
      <c r="C32" s="321" t="s">
        <v>96</v>
      </c>
      <c r="D32" s="376" t="s">
        <v>97</v>
      </c>
      <c r="E32" s="376" t="s">
        <v>319</v>
      </c>
      <c r="F32" s="377" t="s">
        <v>239</v>
      </c>
      <c r="G32" s="440" t="s">
        <v>320</v>
      </c>
      <c r="H32" s="319">
        <v>45609</v>
      </c>
      <c r="I32" s="380">
        <f t="shared" si="0"/>
        <v>46338</v>
      </c>
      <c r="J32" s="319">
        <v>45610</v>
      </c>
      <c r="K32" s="380">
        <f t="shared" si="1"/>
        <v>46339</v>
      </c>
      <c r="L32" s="319">
        <v>45611</v>
      </c>
      <c r="M32" s="380">
        <f t="shared" si="2"/>
        <v>46340</v>
      </c>
      <c r="N32" s="91" t="s">
        <v>231</v>
      </c>
      <c r="O32" s="91" t="s">
        <v>231</v>
      </c>
      <c r="P32" s="91" t="s">
        <v>231</v>
      </c>
      <c r="Q32" s="91" t="s">
        <v>231</v>
      </c>
      <c r="R32" s="91" t="s">
        <v>231</v>
      </c>
      <c r="S32" s="91" t="s">
        <v>231</v>
      </c>
      <c r="T32" s="317">
        <v>45825</v>
      </c>
      <c r="U32" s="91">
        <f>IF(ISBLANK(T32),"",EDATE(T32,24))-1</f>
        <v>46554</v>
      </c>
      <c r="V32" s="317" t="s">
        <v>232</v>
      </c>
      <c r="W32" s="317" t="s">
        <v>232</v>
      </c>
      <c r="X32" s="317" t="s">
        <v>232</v>
      </c>
      <c r="Y32" s="317" t="s">
        <v>232</v>
      </c>
      <c r="Z32" s="317" t="s">
        <v>232</v>
      </c>
      <c r="AA32" s="317" t="s">
        <v>232</v>
      </c>
      <c r="AB32" s="317" t="s">
        <v>232</v>
      </c>
      <c r="AC32" s="317" t="s">
        <v>232</v>
      </c>
      <c r="AD32" s="317" t="s">
        <v>232</v>
      </c>
      <c r="AE32" s="317" t="s">
        <v>232</v>
      </c>
      <c r="AF32" s="319">
        <v>45607</v>
      </c>
      <c r="AG32" s="380">
        <f>IF(ISBLANK(AF32),"",EDATE(AF32,24))</f>
        <v>46337</v>
      </c>
      <c r="AH32" s="91">
        <v>45673</v>
      </c>
      <c r="AI32" s="91">
        <f t="shared" si="23"/>
        <v>46402</v>
      </c>
      <c r="AJ32" s="91">
        <v>45674</v>
      </c>
      <c r="AK32" s="91">
        <f t="shared" si="24"/>
        <v>46403</v>
      </c>
      <c r="AL32" s="319">
        <v>45785</v>
      </c>
      <c r="AM32" s="380">
        <f t="shared" si="22"/>
        <v>46149</v>
      </c>
      <c r="AN32" s="91">
        <v>45617</v>
      </c>
      <c r="AO32" s="91">
        <f t="shared" si="7"/>
        <v>46346</v>
      </c>
      <c r="AP32" s="91">
        <v>45709</v>
      </c>
      <c r="AQ32" s="91">
        <f t="shared" si="8"/>
        <v>46438</v>
      </c>
      <c r="AR32" s="91">
        <v>45784</v>
      </c>
      <c r="AS32" s="91">
        <f t="shared" si="9"/>
        <v>46513</v>
      </c>
      <c r="AT32" s="91">
        <v>45782</v>
      </c>
      <c r="AU32" s="91">
        <f>IF(ISBLANK(AT32),"",EDATE(AT32,24))</f>
        <v>46512</v>
      </c>
      <c r="AV32" s="91">
        <v>45782</v>
      </c>
      <c r="AW32" s="91">
        <f>IF(ISBLANK(AV32),"",EDATE(AV32,24))</f>
        <v>46512</v>
      </c>
      <c r="AX32" s="319">
        <v>45614</v>
      </c>
      <c r="AY32" s="380">
        <f>IF(ISBLANK(AX32),"",EDATE(AX32,24))-1</f>
        <v>46343</v>
      </c>
      <c r="AZ32" s="317" t="s">
        <v>232</v>
      </c>
      <c r="BA32" s="317" t="s">
        <v>232</v>
      </c>
      <c r="BB32" s="317" t="s">
        <v>232</v>
      </c>
      <c r="BC32" s="317" t="s">
        <v>232</v>
      </c>
      <c r="BD32" s="317" t="s">
        <v>232</v>
      </c>
      <c r="BE32" s="317" t="s">
        <v>232</v>
      </c>
      <c r="BF32" s="317" t="s">
        <v>232</v>
      </c>
      <c r="BG32" s="317" t="s">
        <v>232</v>
      </c>
      <c r="BH32" s="317" t="s">
        <v>232</v>
      </c>
      <c r="BI32" s="317" t="s">
        <v>232</v>
      </c>
      <c r="BJ32" s="317" t="s">
        <v>232</v>
      </c>
      <c r="BK32" s="317" t="s">
        <v>232</v>
      </c>
      <c r="BL32" s="91">
        <v>45667</v>
      </c>
      <c r="BM32" s="91">
        <f t="shared" si="10"/>
        <v>46396</v>
      </c>
      <c r="BN32" s="91" t="s">
        <v>232</v>
      </c>
      <c r="BO32" s="91" t="s">
        <v>232</v>
      </c>
      <c r="BP32" s="91" t="s">
        <v>232</v>
      </c>
      <c r="BQ32" s="91" t="s">
        <v>232</v>
      </c>
      <c r="BR32" s="91" t="s">
        <v>232</v>
      </c>
      <c r="BS32" s="91" t="s">
        <v>232</v>
      </c>
      <c r="BT32" s="91">
        <v>45480</v>
      </c>
      <c r="BU32" s="91">
        <v>45693</v>
      </c>
      <c r="BV32" s="91">
        <v>45712</v>
      </c>
      <c r="BW32" s="91">
        <v>45696</v>
      </c>
      <c r="BX32" s="91">
        <v>45696</v>
      </c>
      <c r="BY32" s="91">
        <v>45692</v>
      </c>
      <c r="BZ32" s="10">
        <v>46013</v>
      </c>
      <c r="CA32" s="91">
        <v>45620</v>
      </c>
      <c r="CB32" s="91">
        <v>45790</v>
      </c>
      <c r="CC32" s="91">
        <v>45698</v>
      </c>
      <c r="CD32" s="91">
        <v>45706</v>
      </c>
      <c r="CE32" s="91" t="s">
        <v>232</v>
      </c>
      <c r="CF32" s="91">
        <v>45619</v>
      </c>
      <c r="CG32" s="91">
        <v>45622</v>
      </c>
      <c r="CH32" s="91">
        <v>45627</v>
      </c>
      <c r="CI32" s="91">
        <v>45620</v>
      </c>
      <c r="CJ32" s="91">
        <v>45716</v>
      </c>
      <c r="CK32" s="91">
        <v>45810</v>
      </c>
      <c r="CL32" s="10">
        <v>45981</v>
      </c>
      <c r="CM32" s="91" t="s">
        <v>232</v>
      </c>
      <c r="CN32" s="91">
        <v>45639</v>
      </c>
      <c r="CO32" s="91">
        <v>45701</v>
      </c>
      <c r="CP32" s="91" t="s">
        <v>232</v>
      </c>
      <c r="CQ32" s="10">
        <v>45749</v>
      </c>
      <c r="CR32" s="10" t="s">
        <v>232</v>
      </c>
      <c r="CS32" s="10" t="s">
        <v>232</v>
      </c>
      <c r="CT32" s="10">
        <v>45828</v>
      </c>
      <c r="CU32" s="10">
        <v>45931</v>
      </c>
      <c r="CV32" s="10"/>
      <c r="CW32" s="11" t="s">
        <v>232</v>
      </c>
      <c r="CX32" s="10">
        <v>45884</v>
      </c>
      <c r="CY32" s="10"/>
      <c r="CZ32" s="10">
        <v>46017</v>
      </c>
    </row>
    <row r="33" spans="2:104" ht="135" customHeight="1">
      <c r="B33" s="331">
        <v>29</v>
      </c>
      <c r="C33" s="321" t="s">
        <v>99</v>
      </c>
      <c r="D33" s="376" t="s">
        <v>100</v>
      </c>
      <c r="E33" s="376" t="s">
        <v>321</v>
      </c>
      <c r="F33" s="377" t="s">
        <v>322</v>
      </c>
      <c r="G33" s="440" t="s">
        <v>323</v>
      </c>
      <c r="H33" s="319">
        <v>45734</v>
      </c>
      <c r="I33" s="91">
        <f t="shared" si="0"/>
        <v>46463</v>
      </c>
      <c r="J33" s="319">
        <v>45735</v>
      </c>
      <c r="K33" s="91">
        <f t="shared" si="1"/>
        <v>46464</v>
      </c>
      <c r="L33" s="319">
        <v>45736</v>
      </c>
      <c r="M33" s="91">
        <f t="shared" si="2"/>
        <v>46465</v>
      </c>
      <c r="N33" s="91" t="s">
        <v>231</v>
      </c>
      <c r="O33" s="91" t="s">
        <v>231</v>
      </c>
      <c r="P33" s="91" t="s">
        <v>231</v>
      </c>
      <c r="Q33" s="91" t="s">
        <v>231</v>
      </c>
      <c r="R33" s="91" t="s">
        <v>231</v>
      </c>
      <c r="S33" s="91" t="s">
        <v>231</v>
      </c>
      <c r="T33" s="317">
        <v>45825</v>
      </c>
      <c r="U33" s="91">
        <f>IF(ISBLANK(T33),"",EDATE(T33,24))-1</f>
        <v>46554</v>
      </c>
      <c r="V33" s="319">
        <v>45615</v>
      </c>
      <c r="W33" s="380">
        <f>IF(ISBLANK(V33),"",EDATE(V33,24))</f>
        <v>46345</v>
      </c>
      <c r="X33" s="317">
        <v>45834</v>
      </c>
      <c r="Y33" s="91">
        <f>IF(ISBLANK(X33),"",EDATE(X33,24))-1</f>
        <v>46563</v>
      </c>
      <c r="Z33" s="91" t="s">
        <v>231</v>
      </c>
      <c r="AA33" s="91" t="s">
        <v>231</v>
      </c>
      <c r="AB33" s="317" t="s">
        <v>232</v>
      </c>
      <c r="AC33" s="317" t="s">
        <v>232</v>
      </c>
      <c r="AD33" s="319">
        <v>45795</v>
      </c>
      <c r="AE33" s="91">
        <f>IF(ISBLANK(AD33),"",EDATE(AD33,24))-1</f>
        <v>46524</v>
      </c>
      <c r="AF33" s="319">
        <v>45733</v>
      </c>
      <c r="AG33" s="91">
        <f t="shared" ref="AG33:AG90" si="25">IF(ISBLANK(AF33),"",EDATE(AF33,24))-1</f>
        <v>46462</v>
      </c>
      <c r="AH33" s="91">
        <v>45741</v>
      </c>
      <c r="AI33" s="91">
        <f t="shared" si="23"/>
        <v>46470</v>
      </c>
      <c r="AJ33" s="91">
        <v>45744</v>
      </c>
      <c r="AK33" s="91">
        <f t="shared" si="24"/>
        <v>46473</v>
      </c>
      <c r="AL33" s="319">
        <v>45785</v>
      </c>
      <c r="AM33" s="380">
        <f t="shared" si="22"/>
        <v>46149</v>
      </c>
      <c r="AN33" s="91">
        <v>45786</v>
      </c>
      <c r="AO33" s="91">
        <f t="shared" si="7"/>
        <v>46515</v>
      </c>
      <c r="AP33" s="91">
        <v>45721</v>
      </c>
      <c r="AQ33" s="91">
        <f t="shared" si="8"/>
        <v>46450</v>
      </c>
      <c r="AR33" s="91">
        <v>45784</v>
      </c>
      <c r="AS33" s="91">
        <f t="shared" si="9"/>
        <v>46513</v>
      </c>
      <c r="AT33" s="91">
        <v>45835</v>
      </c>
      <c r="AU33" s="91">
        <f>IF(ISBLANK(AT33),"",EDATE(AT33,24))-1</f>
        <v>46564</v>
      </c>
      <c r="AV33" s="91">
        <v>45835</v>
      </c>
      <c r="AW33" s="91">
        <f>IF(ISBLANK(AV33),"",EDATE(AV33,24))-1</f>
        <v>46564</v>
      </c>
      <c r="AX33" s="91">
        <v>45781</v>
      </c>
      <c r="AY33" s="91">
        <f>IF(ISBLANK(AX33),"",EDATE(AX33,24))-1</f>
        <v>46510</v>
      </c>
      <c r="AZ33" s="91" t="s">
        <v>232</v>
      </c>
      <c r="BA33" s="91" t="s">
        <v>232</v>
      </c>
      <c r="BB33" s="91">
        <v>45821</v>
      </c>
      <c r="BC33" s="91">
        <f>IF(ISBLANK(BB33),"",EDATE(BB33,24))-1</f>
        <v>46550</v>
      </c>
      <c r="BD33" s="91" t="s">
        <v>232</v>
      </c>
      <c r="BE33" s="91" t="s">
        <v>232</v>
      </c>
      <c r="BF33" s="91">
        <v>45715</v>
      </c>
      <c r="BG33" s="91">
        <f>IF(ISBLANK(BF33),"",EDATE(BF33,24))-1</f>
        <v>46444</v>
      </c>
      <c r="BH33" s="317" t="s">
        <v>232</v>
      </c>
      <c r="BI33" s="317" t="s">
        <v>232</v>
      </c>
      <c r="BJ33" s="317" t="s">
        <v>232</v>
      </c>
      <c r="BK33" s="317" t="s">
        <v>232</v>
      </c>
      <c r="BL33" s="91">
        <v>45737</v>
      </c>
      <c r="BM33" s="91">
        <f t="shared" si="10"/>
        <v>46466</v>
      </c>
      <c r="BN33" s="91" t="s">
        <v>232</v>
      </c>
      <c r="BO33" s="91" t="s">
        <v>232</v>
      </c>
      <c r="BP33" s="91" t="s">
        <v>232</v>
      </c>
      <c r="BQ33" s="91" t="s">
        <v>232</v>
      </c>
      <c r="BR33" s="91" t="s">
        <v>232</v>
      </c>
      <c r="BS33" s="91" t="s">
        <v>232</v>
      </c>
      <c r="BT33" s="91" t="s">
        <v>232</v>
      </c>
      <c r="BU33" s="91">
        <v>45751</v>
      </c>
      <c r="BV33" s="91">
        <v>45758</v>
      </c>
      <c r="BW33" s="91">
        <v>45754</v>
      </c>
      <c r="BX33" s="91">
        <v>45910</v>
      </c>
      <c r="BY33" s="91">
        <v>45750</v>
      </c>
      <c r="BZ33" s="10">
        <v>46013</v>
      </c>
      <c r="CA33" s="91">
        <v>45749</v>
      </c>
      <c r="CB33" s="91">
        <v>45790</v>
      </c>
      <c r="CC33" s="91">
        <v>45749</v>
      </c>
      <c r="CD33" s="91">
        <v>45756</v>
      </c>
      <c r="CE33" s="91" t="s">
        <v>232</v>
      </c>
      <c r="CF33" s="91">
        <v>45619</v>
      </c>
      <c r="CG33" s="91">
        <v>45622</v>
      </c>
      <c r="CH33" s="91">
        <v>45731</v>
      </c>
      <c r="CI33" s="91">
        <v>46049</v>
      </c>
      <c r="CJ33" s="91" t="s">
        <v>232</v>
      </c>
      <c r="CK33" s="91">
        <v>45810</v>
      </c>
      <c r="CL33" s="428">
        <v>45981</v>
      </c>
      <c r="CM33" s="91" t="s">
        <v>232</v>
      </c>
      <c r="CN33" s="91">
        <v>45639</v>
      </c>
      <c r="CO33" s="91">
        <v>45763</v>
      </c>
      <c r="CP33" s="91" t="s">
        <v>232</v>
      </c>
      <c r="CQ33" s="10">
        <v>45742</v>
      </c>
      <c r="CR33" s="10" t="s">
        <v>232</v>
      </c>
      <c r="CS33" s="10">
        <v>45716</v>
      </c>
      <c r="CT33" s="10">
        <v>45865</v>
      </c>
      <c r="CU33" s="11" t="s">
        <v>232</v>
      </c>
      <c r="CV33" s="11">
        <v>46070</v>
      </c>
      <c r="CW33" s="11" t="s">
        <v>232</v>
      </c>
      <c r="CX33" s="11" t="s">
        <v>232</v>
      </c>
      <c r="CY33" s="11"/>
      <c r="CZ33" s="10">
        <v>46017</v>
      </c>
    </row>
    <row r="34" spans="2:104" ht="50.25" customHeight="1">
      <c r="B34" s="331">
        <v>30</v>
      </c>
      <c r="C34" s="321" t="s">
        <v>324</v>
      </c>
      <c r="D34" s="376" t="s">
        <v>325</v>
      </c>
      <c r="E34" s="376" t="s">
        <v>326</v>
      </c>
      <c r="F34" s="377" t="s">
        <v>327</v>
      </c>
      <c r="G34" s="441" t="s">
        <v>232</v>
      </c>
      <c r="H34" s="319">
        <v>45664</v>
      </c>
      <c r="I34" s="91">
        <f t="shared" si="0"/>
        <v>46393</v>
      </c>
      <c r="J34" s="319">
        <v>45665</v>
      </c>
      <c r="K34" s="91">
        <f t="shared" si="1"/>
        <v>46394</v>
      </c>
      <c r="L34" s="319">
        <v>45666</v>
      </c>
      <c r="M34" s="91">
        <f t="shared" si="2"/>
        <v>46395</v>
      </c>
      <c r="N34" s="91">
        <v>45659</v>
      </c>
      <c r="O34" s="91">
        <f>IF(ISBLANK(N34),"",EDATE(N34,24))</f>
        <v>46389</v>
      </c>
      <c r="P34" s="91">
        <v>45660</v>
      </c>
      <c r="Q34" s="91">
        <f>IF(ISBLANK(P34),"",EDATE(P34,24))-1</f>
        <v>46389</v>
      </c>
      <c r="R34" s="91">
        <v>45678</v>
      </c>
      <c r="S34" s="91">
        <f>IF(ISBLANK(R34),"",EDATE(R34,24))-1</f>
        <v>46407</v>
      </c>
      <c r="T34" s="91">
        <v>45680</v>
      </c>
      <c r="U34" s="91">
        <f>IF(ISBLANK(T34),"",EDATE(T34,24))-1</f>
        <v>46409</v>
      </c>
      <c r="V34" s="91">
        <v>45695</v>
      </c>
      <c r="W34" s="91">
        <f>IF(ISBLANK(V34),"",EDATE(V34,24))-1</f>
        <v>46424</v>
      </c>
      <c r="X34" s="91">
        <v>45685</v>
      </c>
      <c r="Y34" s="91">
        <f>IF(ISBLANK(X34),"",EDATE(X34,24))-1</f>
        <v>46414</v>
      </c>
      <c r="Z34" s="317" t="s">
        <v>232</v>
      </c>
      <c r="AA34" s="317" t="s">
        <v>232</v>
      </c>
      <c r="AB34" s="319">
        <v>45819</v>
      </c>
      <c r="AC34" s="317">
        <v>46531</v>
      </c>
      <c r="AD34" s="319">
        <v>45795</v>
      </c>
      <c r="AE34" s="91">
        <f>IF(ISBLANK(AD34),"",EDATE(AD34,24))-1</f>
        <v>46524</v>
      </c>
      <c r="AF34" s="319">
        <v>45663</v>
      </c>
      <c r="AG34" s="91">
        <f t="shared" si="25"/>
        <v>46392</v>
      </c>
      <c r="AH34" s="91">
        <v>45673</v>
      </c>
      <c r="AI34" s="91">
        <f t="shared" si="23"/>
        <v>46402</v>
      </c>
      <c r="AJ34" s="91">
        <v>45674</v>
      </c>
      <c r="AK34" s="91">
        <f t="shared" si="24"/>
        <v>46403</v>
      </c>
      <c r="AL34" s="319">
        <v>45707</v>
      </c>
      <c r="AM34" s="91">
        <f>IF(ISBLANK(AL34),"",EDATE(AL34,24))-1</f>
        <v>46436</v>
      </c>
      <c r="AN34" s="91">
        <v>45708</v>
      </c>
      <c r="AO34" s="91">
        <f t="shared" si="7"/>
        <v>46437</v>
      </c>
      <c r="AP34" s="91">
        <v>45709</v>
      </c>
      <c r="AQ34" s="91">
        <f t="shared" si="8"/>
        <v>46438</v>
      </c>
      <c r="AR34" s="91">
        <v>45784</v>
      </c>
      <c r="AS34" s="91">
        <f t="shared" si="9"/>
        <v>46513</v>
      </c>
      <c r="AT34" s="317" t="s">
        <v>232</v>
      </c>
      <c r="AU34" s="317" t="s">
        <v>232</v>
      </c>
      <c r="AV34" s="317" t="s">
        <v>232</v>
      </c>
      <c r="AW34" s="317" t="s">
        <v>232</v>
      </c>
      <c r="AX34" s="91" t="s">
        <v>232</v>
      </c>
      <c r="AY34" s="91" t="s">
        <v>232</v>
      </c>
      <c r="AZ34" s="91" t="s">
        <v>232</v>
      </c>
      <c r="BA34" s="317" t="s">
        <v>232</v>
      </c>
      <c r="BB34" s="317" t="s">
        <v>232</v>
      </c>
      <c r="BC34" s="317" t="s">
        <v>232</v>
      </c>
      <c r="BD34" s="317" t="s">
        <v>232</v>
      </c>
      <c r="BE34" s="317" t="s">
        <v>232</v>
      </c>
      <c r="BF34" s="317" t="s">
        <v>232</v>
      </c>
      <c r="BG34" s="317" t="s">
        <v>232</v>
      </c>
      <c r="BH34" s="317" t="s">
        <v>232</v>
      </c>
      <c r="BI34" s="317" t="s">
        <v>232</v>
      </c>
      <c r="BJ34" s="317" t="s">
        <v>232</v>
      </c>
      <c r="BK34" s="317" t="s">
        <v>232</v>
      </c>
      <c r="BL34" s="91">
        <v>45667</v>
      </c>
      <c r="BM34" s="91">
        <f t="shared" si="10"/>
        <v>46396</v>
      </c>
      <c r="BN34" s="91" t="s">
        <v>232</v>
      </c>
      <c r="BO34" s="91" t="s">
        <v>232</v>
      </c>
      <c r="BP34" s="91" t="s">
        <v>232</v>
      </c>
      <c r="BQ34" s="91">
        <v>45638</v>
      </c>
      <c r="BR34" s="91" t="s">
        <v>232</v>
      </c>
      <c r="BS34" s="91">
        <v>43284</v>
      </c>
      <c r="BT34" s="91" t="s">
        <v>232</v>
      </c>
      <c r="BU34" s="91">
        <v>45693</v>
      </c>
      <c r="BV34" s="91">
        <v>45712</v>
      </c>
      <c r="BW34" s="91">
        <v>45696</v>
      </c>
      <c r="BX34" s="91">
        <v>45910</v>
      </c>
      <c r="BY34" s="91">
        <v>45692</v>
      </c>
      <c r="BZ34" s="91">
        <v>45724</v>
      </c>
      <c r="CA34" s="91">
        <v>45698</v>
      </c>
      <c r="CB34" s="91" t="s">
        <v>232</v>
      </c>
      <c r="CC34" s="91">
        <v>45698</v>
      </c>
      <c r="CD34" s="91">
        <v>45706</v>
      </c>
      <c r="CE34" s="91" t="s">
        <v>232</v>
      </c>
      <c r="CF34" s="91">
        <v>45720</v>
      </c>
      <c r="CG34" s="91">
        <v>45814</v>
      </c>
      <c r="CH34" s="91">
        <v>45731</v>
      </c>
      <c r="CI34" s="91">
        <v>45716</v>
      </c>
      <c r="CJ34" s="91">
        <v>45716</v>
      </c>
      <c r="CK34" s="91" t="s">
        <v>232</v>
      </c>
      <c r="CL34" s="427" t="s">
        <v>232</v>
      </c>
      <c r="CM34" s="91" t="s">
        <v>232</v>
      </c>
      <c r="CN34" s="91">
        <v>45639</v>
      </c>
      <c r="CO34" s="91">
        <v>45699</v>
      </c>
      <c r="CP34" s="91" t="s">
        <v>232</v>
      </c>
      <c r="CQ34" s="10">
        <v>45757</v>
      </c>
      <c r="CR34" s="10" t="s">
        <v>232</v>
      </c>
      <c r="CS34" s="10" t="s">
        <v>232</v>
      </c>
      <c r="CT34" s="10" t="s">
        <v>232</v>
      </c>
      <c r="CU34" s="10">
        <v>45931</v>
      </c>
      <c r="CV34" s="10"/>
      <c r="CW34" s="11" t="s">
        <v>232</v>
      </c>
      <c r="CX34" s="11" t="s">
        <v>232</v>
      </c>
      <c r="CY34" s="10">
        <v>45953</v>
      </c>
      <c r="CZ34" s="11"/>
    </row>
    <row r="35" spans="2:104" ht="89.25" customHeight="1">
      <c r="B35" s="331">
        <v>31</v>
      </c>
      <c r="C35" s="321" t="s">
        <v>328</v>
      </c>
      <c r="D35" s="376" t="s">
        <v>329</v>
      </c>
      <c r="E35" s="376" t="s">
        <v>330</v>
      </c>
      <c r="F35" s="377" t="s">
        <v>331</v>
      </c>
      <c r="G35" s="442" t="s">
        <v>332</v>
      </c>
      <c r="H35" s="319">
        <v>45664</v>
      </c>
      <c r="I35" s="91">
        <f t="shared" si="0"/>
        <v>46393</v>
      </c>
      <c r="J35" s="319">
        <v>45665</v>
      </c>
      <c r="K35" s="91">
        <f t="shared" si="1"/>
        <v>46394</v>
      </c>
      <c r="L35" s="319">
        <v>45666</v>
      </c>
      <c r="M35" s="91">
        <f t="shared" si="2"/>
        <v>46395</v>
      </c>
      <c r="N35" s="91">
        <v>45659</v>
      </c>
      <c r="O35" s="91">
        <f>IF(ISBLANK(N35),"",EDATE(N35,24))</f>
        <v>46389</v>
      </c>
      <c r="P35" s="91">
        <v>45660</v>
      </c>
      <c r="Q35" s="91">
        <f>IF(ISBLANK(P35),"",EDATE(P35,24))-1</f>
        <v>46389</v>
      </c>
      <c r="R35" s="91">
        <v>45678</v>
      </c>
      <c r="S35" s="91">
        <f t="shared" ref="S35:S39" si="26">IF(ISBLANK(R35),"",EDATE(R35,24))-1</f>
        <v>46407</v>
      </c>
      <c r="T35" s="91">
        <v>45680</v>
      </c>
      <c r="U35" s="91">
        <f>IF(ISBLANK(T35),"",EDATE(T35,24))-1</f>
        <v>46409</v>
      </c>
      <c r="V35" s="91">
        <v>45695</v>
      </c>
      <c r="W35" s="91">
        <f>IF(ISBLANK(V35),"",EDATE(V35,24))-1</f>
        <v>46424</v>
      </c>
      <c r="X35" s="91" t="s">
        <v>231</v>
      </c>
      <c r="Y35" s="91" t="s">
        <v>231</v>
      </c>
      <c r="Z35" s="319">
        <v>45779</v>
      </c>
      <c r="AA35" s="91">
        <f>IF(ISBLANK(Z35),"",EDATE(Z35,24))-1</f>
        <v>46508</v>
      </c>
      <c r="AB35" s="317" t="s">
        <v>232</v>
      </c>
      <c r="AC35" s="317" t="s">
        <v>232</v>
      </c>
      <c r="AD35" s="319">
        <v>45795</v>
      </c>
      <c r="AE35" s="91">
        <f>IF(ISBLANK(AD35),"",EDATE(AD35,24))-1</f>
        <v>46524</v>
      </c>
      <c r="AF35" s="319">
        <v>45663</v>
      </c>
      <c r="AG35" s="91">
        <f t="shared" si="25"/>
        <v>46392</v>
      </c>
      <c r="AH35" s="91">
        <v>45673</v>
      </c>
      <c r="AI35" s="91">
        <f t="shared" si="23"/>
        <v>46402</v>
      </c>
      <c r="AJ35" s="91">
        <v>45674</v>
      </c>
      <c r="AK35" s="91">
        <f t="shared" si="24"/>
        <v>46403</v>
      </c>
      <c r="AL35" s="319">
        <v>45785</v>
      </c>
      <c r="AM35" s="380">
        <f t="shared" ref="AM35:AM59" si="27">IF(ISBLANK(AL35),"",EDATE(AL35,12))-1</f>
        <v>46149</v>
      </c>
      <c r="AN35" s="91">
        <v>45786</v>
      </c>
      <c r="AO35" s="91">
        <f t="shared" si="7"/>
        <v>46515</v>
      </c>
      <c r="AP35" s="91">
        <v>45709</v>
      </c>
      <c r="AQ35" s="91">
        <f t="shared" si="8"/>
        <v>46438</v>
      </c>
      <c r="AR35" s="91">
        <v>45784</v>
      </c>
      <c r="AS35" s="91">
        <f t="shared" si="9"/>
        <v>46513</v>
      </c>
      <c r="AT35" s="91">
        <v>45691</v>
      </c>
      <c r="AU35" s="91">
        <f>IF(ISBLANK(AT35),"",EDATE(AT35,24))-1</f>
        <v>46420</v>
      </c>
      <c r="AV35" s="317" t="s">
        <v>232</v>
      </c>
      <c r="AW35" s="317" t="s">
        <v>232</v>
      </c>
      <c r="AX35" s="317" t="s">
        <v>232</v>
      </c>
      <c r="AY35" s="317" t="s">
        <v>232</v>
      </c>
      <c r="AZ35" s="317">
        <v>45812</v>
      </c>
      <c r="BA35" s="91">
        <f>IF(ISBLANK(AZ35),"",EDATE(AZ35,24))-1</f>
        <v>46541</v>
      </c>
      <c r="BB35" s="91">
        <v>45821</v>
      </c>
      <c r="BC35" s="91">
        <f>IF(ISBLANK(BB35),"",EDATE(BB35,24))-1</f>
        <v>46550</v>
      </c>
      <c r="BD35" s="91">
        <v>45714</v>
      </c>
      <c r="BE35" s="90">
        <f>IF(ISBLANK(BD35),"",EDATE(BD35,24))-1</f>
        <v>46443</v>
      </c>
      <c r="BF35" s="317" t="s">
        <v>232</v>
      </c>
      <c r="BG35" s="317" t="s">
        <v>232</v>
      </c>
      <c r="BH35" s="317" t="s">
        <v>232</v>
      </c>
      <c r="BI35" s="317" t="s">
        <v>232</v>
      </c>
      <c r="BJ35" s="317" t="s">
        <v>232</v>
      </c>
      <c r="BK35" s="317" t="s">
        <v>232</v>
      </c>
      <c r="BL35" s="91">
        <v>45667</v>
      </c>
      <c r="BM35" s="91">
        <f t="shared" si="10"/>
        <v>46396</v>
      </c>
      <c r="BN35" s="91" t="s">
        <v>232</v>
      </c>
      <c r="BO35" s="91" t="s">
        <v>232</v>
      </c>
      <c r="BP35" s="317" t="s">
        <v>232</v>
      </c>
      <c r="BQ35" s="91" t="s">
        <v>232</v>
      </c>
      <c r="BR35" s="91" t="s">
        <v>232</v>
      </c>
      <c r="BS35" s="91" t="s">
        <v>232</v>
      </c>
      <c r="BT35" s="91" t="s">
        <v>232</v>
      </c>
      <c r="BU35" s="91">
        <v>45693</v>
      </c>
      <c r="BV35" s="91">
        <v>45712</v>
      </c>
      <c r="BW35" s="91">
        <v>45696</v>
      </c>
      <c r="BX35" s="91">
        <v>45696</v>
      </c>
      <c r="BY35" s="91">
        <v>45692</v>
      </c>
      <c r="BZ35" s="10">
        <v>46013</v>
      </c>
      <c r="CA35" s="91">
        <v>45698</v>
      </c>
      <c r="CB35" s="91" t="s">
        <v>232</v>
      </c>
      <c r="CC35" s="91">
        <v>45698</v>
      </c>
      <c r="CD35" s="91">
        <v>45706</v>
      </c>
      <c r="CE35" s="91" t="s">
        <v>232</v>
      </c>
      <c r="CF35" s="91">
        <v>45720</v>
      </c>
      <c r="CG35" s="91">
        <v>45814</v>
      </c>
      <c r="CH35" s="91">
        <v>45731</v>
      </c>
      <c r="CI35" s="91">
        <v>45716</v>
      </c>
      <c r="CJ35" s="91">
        <v>45716</v>
      </c>
      <c r="CK35" s="91" t="s">
        <v>232</v>
      </c>
      <c r="CL35" s="427" t="s">
        <v>232</v>
      </c>
      <c r="CM35" s="91" t="s">
        <v>232</v>
      </c>
      <c r="CN35" s="91">
        <v>45639</v>
      </c>
      <c r="CO35" s="91">
        <v>45701</v>
      </c>
      <c r="CP35" s="91" t="s">
        <v>232</v>
      </c>
      <c r="CQ35" s="10">
        <v>45743</v>
      </c>
      <c r="CR35" s="10" t="s">
        <v>232</v>
      </c>
      <c r="CS35" s="10" t="s">
        <v>232</v>
      </c>
      <c r="CT35" s="10" t="s">
        <v>232</v>
      </c>
      <c r="CU35" s="10">
        <v>45931</v>
      </c>
      <c r="CV35" s="10"/>
      <c r="CW35" s="11" t="s">
        <v>232</v>
      </c>
      <c r="CX35" s="11" t="s">
        <v>232</v>
      </c>
      <c r="CY35" s="10">
        <v>45951</v>
      </c>
      <c r="CZ35" s="11"/>
    </row>
    <row r="36" spans="2:104" ht="50.25" customHeight="1">
      <c r="B36" s="331">
        <v>32</v>
      </c>
      <c r="C36" s="321" t="s">
        <v>333</v>
      </c>
      <c r="D36" s="376" t="s">
        <v>334</v>
      </c>
      <c r="E36" s="376" t="s">
        <v>335</v>
      </c>
      <c r="F36" s="377" t="s">
        <v>253</v>
      </c>
      <c r="G36" s="441" t="s">
        <v>232</v>
      </c>
      <c r="H36" s="319">
        <v>45664</v>
      </c>
      <c r="I36" s="91">
        <f t="shared" si="0"/>
        <v>46393</v>
      </c>
      <c r="J36" s="319">
        <v>45665</v>
      </c>
      <c r="K36" s="91">
        <f t="shared" si="1"/>
        <v>46394</v>
      </c>
      <c r="L36" s="319">
        <v>45666</v>
      </c>
      <c r="M36" s="91">
        <f t="shared" si="2"/>
        <v>46395</v>
      </c>
      <c r="N36" s="91">
        <v>45659</v>
      </c>
      <c r="O36" s="91">
        <f>IF(ISBLANK(N36),"",EDATE(N36,24))</f>
        <v>46389</v>
      </c>
      <c r="P36" s="91">
        <v>45660</v>
      </c>
      <c r="Q36" s="91">
        <f>IF(ISBLANK(P36),"",EDATE(P36,24))-1</f>
        <v>46389</v>
      </c>
      <c r="R36" s="91">
        <v>45678</v>
      </c>
      <c r="S36" s="91">
        <f t="shared" si="26"/>
        <v>46407</v>
      </c>
      <c r="T36" s="91">
        <v>45680</v>
      </c>
      <c r="U36" s="91">
        <f>IF(ISBLANK(T36),"",EDATE(T36,24))-1</f>
        <v>46409</v>
      </c>
      <c r="V36" s="91">
        <v>45695</v>
      </c>
      <c r="W36" s="91">
        <f>IF(ISBLANK(V36),"",EDATE(V36,24))-1</f>
        <v>46424</v>
      </c>
      <c r="X36" s="91">
        <v>45685</v>
      </c>
      <c r="Y36" s="91">
        <f>IF(ISBLANK(X36),"",EDATE(X36,24))-1</f>
        <v>46414</v>
      </c>
      <c r="Z36" s="319">
        <v>45779</v>
      </c>
      <c r="AA36" s="91">
        <f>IF(ISBLANK(Z36),"",EDATE(Z36,24))-1</f>
        <v>46508</v>
      </c>
      <c r="AB36" s="317" t="s">
        <v>232</v>
      </c>
      <c r="AC36" s="317" t="s">
        <v>232</v>
      </c>
      <c r="AD36" s="319">
        <v>45795</v>
      </c>
      <c r="AE36" s="91">
        <f>IF(ISBLANK(AD36),"",EDATE(AD36,24))-1</f>
        <v>46524</v>
      </c>
      <c r="AF36" s="319">
        <v>45663</v>
      </c>
      <c r="AG36" s="91">
        <f t="shared" si="25"/>
        <v>46392</v>
      </c>
      <c r="AH36" s="91">
        <v>45673</v>
      </c>
      <c r="AI36" s="91">
        <f t="shared" si="23"/>
        <v>46402</v>
      </c>
      <c r="AJ36" s="91">
        <v>45674</v>
      </c>
      <c r="AK36" s="91">
        <f t="shared" si="24"/>
        <v>46403</v>
      </c>
      <c r="AL36" s="91">
        <v>46069</v>
      </c>
      <c r="AM36" s="91">
        <f>IF(ISBLANK(AL36),"",EDATE(AL36,12))-1</f>
        <v>46433</v>
      </c>
      <c r="AN36" s="91">
        <v>45708</v>
      </c>
      <c r="AO36" s="91">
        <f t="shared" si="7"/>
        <v>46437</v>
      </c>
      <c r="AP36" s="91">
        <v>45709</v>
      </c>
      <c r="AQ36" s="91">
        <f t="shared" si="8"/>
        <v>46438</v>
      </c>
      <c r="AR36" s="91">
        <v>45784</v>
      </c>
      <c r="AS36" s="91">
        <f t="shared" si="9"/>
        <v>46513</v>
      </c>
      <c r="AT36" s="317" t="s">
        <v>232</v>
      </c>
      <c r="AU36" s="317" t="s">
        <v>232</v>
      </c>
      <c r="AV36" s="317" t="s">
        <v>232</v>
      </c>
      <c r="AW36" s="317" t="s">
        <v>232</v>
      </c>
      <c r="AX36" s="317" t="s">
        <v>232</v>
      </c>
      <c r="AY36" s="317" t="s">
        <v>232</v>
      </c>
      <c r="AZ36" s="91" t="s">
        <v>232</v>
      </c>
      <c r="BA36" s="317" t="s">
        <v>232</v>
      </c>
      <c r="BB36" s="317" t="s">
        <v>232</v>
      </c>
      <c r="BC36" s="317" t="s">
        <v>232</v>
      </c>
      <c r="BD36" s="317" t="s">
        <v>232</v>
      </c>
      <c r="BE36" s="317" t="s">
        <v>232</v>
      </c>
      <c r="BF36" s="317" t="s">
        <v>232</v>
      </c>
      <c r="BG36" s="317" t="s">
        <v>232</v>
      </c>
      <c r="BH36" s="317" t="s">
        <v>232</v>
      </c>
      <c r="BI36" s="317" t="s">
        <v>232</v>
      </c>
      <c r="BJ36" s="317" t="s">
        <v>232</v>
      </c>
      <c r="BK36" s="317" t="s">
        <v>232</v>
      </c>
      <c r="BL36" s="91">
        <v>45667</v>
      </c>
      <c r="BM36" s="91">
        <f t="shared" si="10"/>
        <v>46396</v>
      </c>
      <c r="BN36" s="91" t="s">
        <v>232</v>
      </c>
      <c r="BO36" s="91" t="s">
        <v>232</v>
      </c>
      <c r="BP36" s="317" t="s">
        <v>232</v>
      </c>
      <c r="BQ36" s="91" t="s">
        <v>232</v>
      </c>
      <c r="BR36" s="91" t="s">
        <v>232</v>
      </c>
      <c r="BS36" s="91" t="s">
        <v>232</v>
      </c>
      <c r="BT36" s="91" t="s">
        <v>232</v>
      </c>
      <c r="BU36" s="91">
        <v>45693</v>
      </c>
      <c r="BV36" s="91">
        <v>45712</v>
      </c>
      <c r="BW36" s="91">
        <v>45696</v>
      </c>
      <c r="BX36" s="91">
        <v>45696</v>
      </c>
      <c r="BY36" s="91">
        <v>45692</v>
      </c>
      <c r="BZ36" s="91">
        <v>45724</v>
      </c>
      <c r="CA36" s="91">
        <v>45698</v>
      </c>
      <c r="CB36" s="91" t="s">
        <v>232</v>
      </c>
      <c r="CC36" s="91">
        <v>45698</v>
      </c>
      <c r="CD36" s="91">
        <v>45706</v>
      </c>
      <c r="CE36" s="91" t="s">
        <v>232</v>
      </c>
      <c r="CF36" s="91">
        <v>45720</v>
      </c>
      <c r="CG36" s="91">
        <v>45814</v>
      </c>
      <c r="CH36" s="91">
        <v>45731</v>
      </c>
      <c r="CI36" s="91">
        <v>45716</v>
      </c>
      <c r="CJ36" s="91">
        <v>45716</v>
      </c>
      <c r="CK36" s="91" t="s">
        <v>232</v>
      </c>
      <c r="CL36" s="11" t="s">
        <v>232</v>
      </c>
      <c r="CM36" s="91" t="s">
        <v>232</v>
      </c>
      <c r="CN36" s="91" t="s">
        <v>232</v>
      </c>
      <c r="CO36" s="91" t="s">
        <v>232</v>
      </c>
      <c r="CP36" s="91" t="s">
        <v>232</v>
      </c>
      <c r="CQ36" s="10">
        <v>45746</v>
      </c>
      <c r="CR36" s="10" t="s">
        <v>232</v>
      </c>
      <c r="CS36" s="10" t="s">
        <v>232</v>
      </c>
      <c r="CT36" s="10" t="s">
        <v>232</v>
      </c>
      <c r="CU36" s="11" t="s">
        <v>232</v>
      </c>
      <c r="CV36" s="11"/>
      <c r="CW36" s="11" t="s">
        <v>232</v>
      </c>
      <c r="CX36" s="11" t="s">
        <v>232</v>
      </c>
      <c r="CY36" s="11"/>
      <c r="CZ36" s="11"/>
    </row>
    <row r="37" spans="2:104" ht="105.75" customHeight="1">
      <c r="B37" s="331">
        <v>33</v>
      </c>
      <c r="C37" s="321" t="s">
        <v>336</v>
      </c>
      <c r="D37" s="376" t="s">
        <v>337</v>
      </c>
      <c r="E37" s="376" t="s">
        <v>338</v>
      </c>
      <c r="F37" s="377" t="s">
        <v>339</v>
      </c>
      <c r="G37" s="440" t="s">
        <v>340</v>
      </c>
      <c r="H37" s="319">
        <v>45664</v>
      </c>
      <c r="I37" s="91">
        <f t="shared" si="0"/>
        <v>46393</v>
      </c>
      <c r="J37" s="319">
        <v>45665</v>
      </c>
      <c r="K37" s="91">
        <f t="shared" si="1"/>
        <v>46394</v>
      </c>
      <c r="L37" s="319">
        <v>45666</v>
      </c>
      <c r="M37" s="91">
        <f t="shared" si="2"/>
        <v>46395</v>
      </c>
      <c r="N37" s="91">
        <v>45819</v>
      </c>
      <c r="O37" s="91">
        <v>46549</v>
      </c>
      <c r="P37" s="91">
        <v>45819</v>
      </c>
      <c r="Q37" s="91">
        <f>IF(ISBLANK(P37),"",EDATE(P37,24))-1</f>
        <v>46548</v>
      </c>
      <c r="R37" s="91">
        <v>45678</v>
      </c>
      <c r="S37" s="91">
        <f>IF(ISBLANK(R37),"",EDATE(R37,24))-1</f>
        <v>46407</v>
      </c>
      <c r="T37" s="91" t="s">
        <v>231</v>
      </c>
      <c r="U37" s="91" t="s">
        <v>231</v>
      </c>
      <c r="V37" s="91" t="s">
        <v>232</v>
      </c>
      <c r="W37" s="91" t="s">
        <v>232</v>
      </c>
      <c r="X37" s="91" t="s">
        <v>231</v>
      </c>
      <c r="Y37" s="91" t="s">
        <v>231</v>
      </c>
      <c r="Z37" s="317" t="s">
        <v>232</v>
      </c>
      <c r="AA37" s="317" t="s">
        <v>232</v>
      </c>
      <c r="AB37" s="317" t="s">
        <v>232</v>
      </c>
      <c r="AC37" s="317" t="s">
        <v>232</v>
      </c>
      <c r="AD37" s="317" t="s">
        <v>232</v>
      </c>
      <c r="AE37" s="317" t="s">
        <v>232</v>
      </c>
      <c r="AF37" s="319">
        <v>45663</v>
      </c>
      <c r="AG37" s="91">
        <f t="shared" si="25"/>
        <v>46392</v>
      </c>
      <c r="AH37" s="91">
        <v>45673</v>
      </c>
      <c r="AI37" s="91">
        <f t="shared" si="23"/>
        <v>46402</v>
      </c>
      <c r="AJ37" s="91">
        <v>45674</v>
      </c>
      <c r="AK37" s="91">
        <f t="shared" si="24"/>
        <v>46403</v>
      </c>
      <c r="AL37" s="319">
        <v>45616</v>
      </c>
      <c r="AM37" s="380">
        <f t="shared" si="27"/>
        <v>45980</v>
      </c>
      <c r="AN37" s="91">
        <v>45617</v>
      </c>
      <c r="AO37" s="380">
        <f t="shared" si="7"/>
        <v>46346</v>
      </c>
      <c r="AP37" s="91">
        <v>45709</v>
      </c>
      <c r="AQ37" s="91">
        <f t="shared" si="8"/>
        <v>46438</v>
      </c>
      <c r="AR37" s="91">
        <v>45784</v>
      </c>
      <c r="AS37" s="91">
        <f t="shared" si="9"/>
        <v>46513</v>
      </c>
      <c r="AT37" s="317" t="s">
        <v>232</v>
      </c>
      <c r="AU37" s="317" t="s">
        <v>232</v>
      </c>
      <c r="AV37" s="317" t="s">
        <v>232</v>
      </c>
      <c r="AW37" s="317" t="s">
        <v>232</v>
      </c>
      <c r="AX37" s="317" t="s">
        <v>232</v>
      </c>
      <c r="AY37" s="317" t="s">
        <v>232</v>
      </c>
      <c r="AZ37" s="317">
        <v>45812</v>
      </c>
      <c r="BA37" s="91">
        <f>IF(ISBLANK(AZ37),"",EDATE(AZ37,24))-1</f>
        <v>46541</v>
      </c>
      <c r="BB37" s="317" t="s">
        <v>232</v>
      </c>
      <c r="BC37" s="317" t="s">
        <v>232</v>
      </c>
      <c r="BD37" s="91">
        <v>45714</v>
      </c>
      <c r="BE37" s="90">
        <f>IF(ISBLANK(BD37),"",EDATE(BD37,24))-1</f>
        <v>46443</v>
      </c>
      <c r="BF37" s="317" t="s">
        <v>232</v>
      </c>
      <c r="BG37" s="317" t="s">
        <v>232</v>
      </c>
      <c r="BH37" s="317" t="s">
        <v>232</v>
      </c>
      <c r="BI37" s="317" t="s">
        <v>232</v>
      </c>
      <c r="BJ37" s="317" t="s">
        <v>232</v>
      </c>
      <c r="BK37" s="317" t="s">
        <v>232</v>
      </c>
      <c r="BL37" s="91">
        <v>45667</v>
      </c>
      <c r="BM37" s="91">
        <f t="shared" si="10"/>
        <v>46396</v>
      </c>
      <c r="BN37" s="91" t="s">
        <v>232</v>
      </c>
      <c r="BO37" s="91" t="s">
        <v>232</v>
      </c>
      <c r="BP37" s="91" t="s">
        <v>232</v>
      </c>
      <c r="BQ37" s="91" t="s">
        <v>232</v>
      </c>
      <c r="BR37" s="91" t="s">
        <v>232</v>
      </c>
      <c r="BS37" s="91">
        <v>45685</v>
      </c>
      <c r="BT37" s="91" t="s">
        <v>232</v>
      </c>
      <c r="BU37" s="91">
        <v>45693</v>
      </c>
      <c r="BV37" s="91">
        <v>45712</v>
      </c>
      <c r="BW37" s="91">
        <v>45696</v>
      </c>
      <c r="BX37" s="91">
        <v>45696</v>
      </c>
      <c r="BY37" s="91">
        <v>45692</v>
      </c>
      <c r="BZ37" s="10">
        <v>46013</v>
      </c>
      <c r="CA37" s="91">
        <v>45698</v>
      </c>
      <c r="CB37" s="91" t="s">
        <v>232</v>
      </c>
      <c r="CC37" s="91">
        <v>45698</v>
      </c>
      <c r="CD37" s="91">
        <v>45706</v>
      </c>
      <c r="CE37" s="91" t="s">
        <v>232</v>
      </c>
      <c r="CF37" s="91">
        <v>45720</v>
      </c>
      <c r="CG37" s="91">
        <v>45814</v>
      </c>
      <c r="CH37" s="91">
        <v>45731</v>
      </c>
      <c r="CI37" s="91">
        <v>45716</v>
      </c>
      <c r="CJ37" s="91">
        <v>45716</v>
      </c>
      <c r="CK37" s="91" t="s">
        <v>232</v>
      </c>
      <c r="CL37" s="11" t="s">
        <v>232</v>
      </c>
      <c r="CM37" s="91" t="s">
        <v>232</v>
      </c>
      <c r="CN37" s="91" t="s">
        <v>232</v>
      </c>
      <c r="CO37" s="91">
        <v>45701</v>
      </c>
      <c r="CP37" s="91" t="s">
        <v>232</v>
      </c>
      <c r="CQ37" s="10">
        <v>45718</v>
      </c>
      <c r="CR37" s="10" t="s">
        <v>232</v>
      </c>
      <c r="CS37" s="10" t="s">
        <v>232</v>
      </c>
      <c r="CT37" s="10" t="s">
        <v>232</v>
      </c>
      <c r="CU37" s="11" t="s">
        <v>232</v>
      </c>
      <c r="CV37" s="11"/>
      <c r="CW37" s="11" t="s">
        <v>232</v>
      </c>
      <c r="CX37" s="11" t="s">
        <v>232</v>
      </c>
      <c r="CY37" s="11"/>
      <c r="CZ37" s="11"/>
    </row>
    <row r="38" spans="2:104" ht="50.25" customHeight="1">
      <c r="B38" s="331">
        <v>34</v>
      </c>
      <c r="C38" s="321" t="s">
        <v>102</v>
      </c>
      <c r="D38" s="376" t="s">
        <v>103</v>
      </c>
      <c r="E38" s="376" t="s">
        <v>341</v>
      </c>
      <c r="F38" s="377" t="s">
        <v>339</v>
      </c>
      <c r="G38" s="439" t="s">
        <v>342</v>
      </c>
      <c r="H38" s="319">
        <v>45734</v>
      </c>
      <c r="I38" s="91">
        <f t="shared" si="0"/>
        <v>46463</v>
      </c>
      <c r="J38" s="319">
        <v>45735</v>
      </c>
      <c r="K38" s="91">
        <f t="shared" si="1"/>
        <v>46464</v>
      </c>
      <c r="L38" s="319">
        <v>45736</v>
      </c>
      <c r="M38" s="91">
        <f t="shared" si="2"/>
        <v>46465</v>
      </c>
      <c r="N38" s="91" t="s">
        <v>231</v>
      </c>
      <c r="O38" s="91" t="s">
        <v>231</v>
      </c>
      <c r="P38" s="319" t="s">
        <v>232</v>
      </c>
      <c r="Q38" s="91" t="s">
        <v>232</v>
      </c>
      <c r="R38" s="319">
        <v>45797</v>
      </c>
      <c r="S38" s="91">
        <f t="shared" si="26"/>
        <v>46526</v>
      </c>
      <c r="T38" s="317">
        <v>45825</v>
      </c>
      <c r="U38" s="91">
        <f t="shared" ref="U38:U44" si="28">IF(ISBLANK(T38),"",EDATE(T38,24))-1</f>
        <v>46554</v>
      </c>
      <c r="V38" s="91" t="s">
        <v>232</v>
      </c>
      <c r="W38" s="91" t="s">
        <v>232</v>
      </c>
      <c r="X38" s="317">
        <v>45834</v>
      </c>
      <c r="Y38" s="91">
        <f>IF(ISBLANK(X38),"",EDATE(X38,24))-1</f>
        <v>46563</v>
      </c>
      <c r="Z38" s="91" t="s">
        <v>231</v>
      </c>
      <c r="AA38" s="91" t="s">
        <v>231</v>
      </c>
      <c r="AB38" s="317" t="s">
        <v>232</v>
      </c>
      <c r="AC38" s="317" t="s">
        <v>232</v>
      </c>
      <c r="AD38" s="319">
        <v>45795</v>
      </c>
      <c r="AE38" s="91">
        <f>IF(ISBLANK(AD38),"",EDATE(AD38,24))-1</f>
        <v>46524</v>
      </c>
      <c r="AF38" s="319">
        <v>45733</v>
      </c>
      <c r="AG38" s="91">
        <f t="shared" si="25"/>
        <v>46462</v>
      </c>
      <c r="AH38" s="91">
        <v>45741</v>
      </c>
      <c r="AI38" s="91">
        <f t="shared" si="23"/>
        <v>46470</v>
      </c>
      <c r="AJ38" s="91">
        <v>45744</v>
      </c>
      <c r="AK38" s="91">
        <f t="shared" si="24"/>
        <v>46473</v>
      </c>
      <c r="AL38" s="319">
        <v>45785</v>
      </c>
      <c r="AM38" s="380">
        <f t="shared" si="27"/>
        <v>46149</v>
      </c>
      <c r="AN38" s="91">
        <v>45786</v>
      </c>
      <c r="AO38" s="91">
        <f t="shared" si="7"/>
        <v>46515</v>
      </c>
      <c r="AP38" s="91">
        <v>45721</v>
      </c>
      <c r="AQ38" s="91">
        <f t="shared" si="8"/>
        <v>46450</v>
      </c>
      <c r="AR38" s="91">
        <v>45784</v>
      </c>
      <c r="AS38" s="91">
        <f t="shared" si="9"/>
        <v>46513</v>
      </c>
      <c r="AT38" s="91">
        <v>45835</v>
      </c>
      <c r="AU38" s="317">
        <v>46565</v>
      </c>
      <c r="AV38" s="317" t="s">
        <v>232</v>
      </c>
      <c r="AW38" s="317" t="s">
        <v>232</v>
      </c>
      <c r="AX38" s="317" t="s">
        <v>232</v>
      </c>
      <c r="AY38" s="317" t="s">
        <v>232</v>
      </c>
      <c r="AZ38" s="91" t="s">
        <v>232</v>
      </c>
      <c r="BA38" s="317" t="s">
        <v>232</v>
      </c>
      <c r="BB38" s="317" t="s">
        <v>232</v>
      </c>
      <c r="BC38" s="317" t="s">
        <v>232</v>
      </c>
      <c r="BD38" s="317" t="s">
        <v>232</v>
      </c>
      <c r="BE38" s="317" t="s">
        <v>232</v>
      </c>
      <c r="BF38" s="91">
        <v>45715</v>
      </c>
      <c r="BG38" s="90">
        <f>IF(ISBLANK(BF38),"",EDATE(BF38,24))-1</f>
        <v>46444</v>
      </c>
      <c r="BH38" s="317" t="s">
        <v>232</v>
      </c>
      <c r="BI38" s="317" t="s">
        <v>232</v>
      </c>
      <c r="BJ38" s="317" t="s">
        <v>232</v>
      </c>
      <c r="BK38" s="317" t="s">
        <v>232</v>
      </c>
      <c r="BL38" s="91">
        <v>45737</v>
      </c>
      <c r="BM38" s="91">
        <f t="shared" si="10"/>
        <v>46466</v>
      </c>
      <c r="BN38" s="91" t="s">
        <v>232</v>
      </c>
      <c r="BO38" s="91" t="s">
        <v>232</v>
      </c>
      <c r="BP38" s="317" t="s">
        <v>232</v>
      </c>
      <c r="BQ38" s="91" t="s">
        <v>232</v>
      </c>
      <c r="BR38" s="91" t="s">
        <v>232</v>
      </c>
      <c r="BS38" s="91" t="s">
        <v>232</v>
      </c>
      <c r="BT38" s="91" t="s">
        <v>232</v>
      </c>
      <c r="BU38" s="91">
        <v>45751</v>
      </c>
      <c r="BV38" s="91">
        <v>45758</v>
      </c>
      <c r="BW38" s="91">
        <v>45754</v>
      </c>
      <c r="BX38" s="91">
        <v>45754</v>
      </c>
      <c r="BY38" s="91">
        <v>45750</v>
      </c>
      <c r="BZ38" s="10">
        <v>46013</v>
      </c>
      <c r="CA38" s="91">
        <v>45749</v>
      </c>
      <c r="CB38" s="91" t="s">
        <v>232</v>
      </c>
      <c r="CC38" s="91">
        <v>45749</v>
      </c>
      <c r="CD38" s="91">
        <v>45756</v>
      </c>
      <c r="CE38" s="91" t="s">
        <v>232</v>
      </c>
      <c r="CF38" s="91" t="s">
        <v>232</v>
      </c>
      <c r="CG38" s="91">
        <v>45814</v>
      </c>
      <c r="CH38" s="91">
        <v>45731</v>
      </c>
      <c r="CI38" s="91" t="s">
        <v>232</v>
      </c>
      <c r="CJ38" s="91" t="s">
        <v>232</v>
      </c>
      <c r="CK38" s="91" t="s">
        <v>232</v>
      </c>
      <c r="CL38" s="11" t="s">
        <v>232</v>
      </c>
      <c r="CM38" s="91" t="s">
        <v>232</v>
      </c>
      <c r="CN38" s="91" t="s">
        <v>232</v>
      </c>
      <c r="CO38" s="91">
        <v>45763</v>
      </c>
      <c r="CP38" s="91">
        <v>45764</v>
      </c>
      <c r="CQ38" s="10">
        <v>45742</v>
      </c>
      <c r="CR38" s="10" t="s">
        <v>232</v>
      </c>
      <c r="CS38" s="10">
        <v>45716</v>
      </c>
      <c r="CT38" s="10" t="s">
        <v>232</v>
      </c>
      <c r="CU38" s="11" t="s">
        <v>232</v>
      </c>
      <c r="CV38" s="11"/>
      <c r="CW38" s="11" t="s">
        <v>232</v>
      </c>
      <c r="CX38" s="11" t="s">
        <v>232</v>
      </c>
      <c r="CY38" s="11"/>
      <c r="CZ38" s="11"/>
    </row>
    <row r="39" spans="2:104" ht="50.25" customHeight="1">
      <c r="B39" s="331">
        <v>35</v>
      </c>
      <c r="C39" s="321" t="s">
        <v>343</v>
      </c>
      <c r="D39" s="376" t="s">
        <v>344</v>
      </c>
      <c r="E39" s="376" t="s">
        <v>345</v>
      </c>
      <c r="F39" s="377" t="s">
        <v>253</v>
      </c>
      <c r="G39" s="441" t="s">
        <v>232</v>
      </c>
      <c r="H39" s="319">
        <v>45664</v>
      </c>
      <c r="I39" s="91">
        <f t="shared" si="0"/>
        <v>46393</v>
      </c>
      <c r="J39" s="319">
        <v>45665</v>
      </c>
      <c r="K39" s="91">
        <f t="shared" si="1"/>
        <v>46394</v>
      </c>
      <c r="L39" s="319">
        <v>45666</v>
      </c>
      <c r="M39" s="91">
        <f t="shared" si="2"/>
        <v>46395</v>
      </c>
      <c r="N39" s="91">
        <v>45659</v>
      </c>
      <c r="O39" s="91">
        <f>IF(ISBLANK(N39),"",EDATE(N39,24))</f>
        <v>46389</v>
      </c>
      <c r="P39" s="91">
        <v>45660</v>
      </c>
      <c r="Q39" s="91">
        <f t="shared" ref="Q39:Q45" si="29">IF(ISBLANK(P39),"",EDATE(P39,24))-1</f>
        <v>46389</v>
      </c>
      <c r="R39" s="91">
        <v>45678</v>
      </c>
      <c r="S39" s="91">
        <f t="shared" si="26"/>
        <v>46407</v>
      </c>
      <c r="T39" s="91">
        <v>45680</v>
      </c>
      <c r="U39" s="91">
        <f t="shared" si="28"/>
        <v>46409</v>
      </c>
      <c r="V39" s="91">
        <v>45695</v>
      </c>
      <c r="W39" s="91">
        <f>IF(ISBLANK(V39),"",EDATE(V39,24))-1</f>
        <v>46424</v>
      </c>
      <c r="X39" s="91">
        <v>45685</v>
      </c>
      <c r="Y39" s="91">
        <f>IF(ISBLANK(X39),"",EDATE(X39,24))-1</f>
        <v>46414</v>
      </c>
      <c r="Z39" s="319">
        <v>45779</v>
      </c>
      <c r="AA39" s="91">
        <f>IF(ISBLANK(Z39),"",EDATE(Z39,24))-1</f>
        <v>46508</v>
      </c>
      <c r="AB39" s="317" t="s">
        <v>232</v>
      </c>
      <c r="AC39" s="317" t="s">
        <v>232</v>
      </c>
      <c r="AD39" s="319">
        <v>45795</v>
      </c>
      <c r="AE39" s="91">
        <f>IF(ISBLANK(AD39),"",EDATE(AD39,24))-1</f>
        <v>46524</v>
      </c>
      <c r="AF39" s="319">
        <v>45663</v>
      </c>
      <c r="AG39" s="91">
        <f t="shared" si="25"/>
        <v>46392</v>
      </c>
      <c r="AH39" s="91">
        <v>45673</v>
      </c>
      <c r="AI39" s="91">
        <f t="shared" si="23"/>
        <v>46402</v>
      </c>
      <c r="AJ39" s="91">
        <v>45674</v>
      </c>
      <c r="AK39" s="91">
        <f t="shared" si="24"/>
        <v>46403</v>
      </c>
      <c r="AL39" s="319">
        <v>45785</v>
      </c>
      <c r="AM39" s="380">
        <f t="shared" si="27"/>
        <v>46149</v>
      </c>
      <c r="AN39" s="91">
        <v>45786</v>
      </c>
      <c r="AO39" s="91">
        <f t="shared" si="7"/>
        <v>46515</v>
      </c>
      <c r="AP39" s="91">
        <v>45709</v>
      </c>
      <c r="AQ39" s="91">
        <f t="shared" si="8"/>
        <v>46438</v>
      </c>
      <c r="AR39" s="91">
        <v>45784</v>
      </c>
      <c r="AS39" s="91">
        <f t="shared" si="9"/>
        <v>46513</v>
      </c>
      <c r="AT39" s="317" t="s">
        <v>232</v>
      </c>
      <c r="AU39" s="317" t="s">
        <v>232</v>
      </c>
      <c r="AV39" s="317" t="s">
        <v>232</v>
      </c>
      <c r="AW39" s="317" t="s">
        <v>232</v>
      </c>
      <c r="AX39" s="317" t="s">
        <v>232</v>
      </c>
      <c r="AY39" s="317" t="s">
        <v>232</v>
      </c>
      <c r="AZ39" s="91" t="s">
        <v>232</v>
      </c>
      <c r="BA39" s="317" t="s">
        <v>232</v>
      </c>
      <c r="BB39" s="317" t="s">
        <v>232</v>
      </c>
      <c r="BC39" s="317" t="s">
        <v>232</v>
      </c>
      <c r="BD39" s="317" t="s">
        <v>232</v>
      </c>
      <c r="BE39" s="317" t="s">
        <v>232</v>
      </c>
      <c r="BF39" s="317" t="s">
        <v>232</v>
      </c>
      <c r="BG39" s="317" t="s">
        <v>232</v>
      </c>
      <c r="BH39" s="317" t="s">
        <v>232</v>
      </c>
      <c r="BI39" s="317" t="s">
        <v>232</v>
      </c>
      <c r="BJ39" s="317" t="s">
        <v>232</v>
      </c>
      <c r="BK39" s="317" t="s">
        <v>232</v>
      </c>
      <c r="BL39" s="91">
        <v>45667</v>
      </c>
      <c r="BM39" s="91">
        <f t="shared" si="10"/>
        <v>46396</v>
      </c>
      <c r="BN39" s="91" t="s">
        <v>232</v>
      </c>
      <c r="BO39" s="91" t="s">
        <v>232</v>
      </c>
      <c r="BP39" s="91" t="s">
        <v>232</v>
      </c>
      <c r="BQ39" s="91" t="s">
        <v>232</v>
      </c>
      <c r="BR39" s="91" t="s">
        <v>232</v>
      </c>
      <c r="BS39" s="91" t="s">
        <v>232</v>
      </c>
      <c r="BT39" s="91" t="s">
        <v>232</v>
      </c>
      <c r="BU39" s="91">
        <v>45693</v>
      </c>
      <c r="BV39" s="91">
        <v>45712</v>
      </c>
      <c r="BW39" s="91">
        <v>45696</v>
      </c>
      <c r="BX39" s="91">
        <v>45696</v>
      </c>
      <c r="BY39" s="91">
        <v>45692</v>
      </c>
      <c r="BZ39" s="91">
        <v>45724</v>
      </c>
      <c r="CA39" s="91">
        <v>45698</v>
      </c>
      <c r="CB39" s="91" t="s">
        <v>232</v>
      </c>
      <c r="CC39" s="91">
        <v>45698</v>
      </c>
      <c r="CD39" s="91">
        <v>45706</v>
      </c>
      <c r="CE39" s="91" t="s">
        <v>232</v>
      </c>
      <c r="CF39" s="91">
        <v>45720</v>
      </c>
      <c r="CG39" s="91">
        <v>45814</v>
      </c>
      <c r="CH39" s="91">
        <v>45731</v>
      </c>
      <c r="CI39" s="91">
        <v>45716</v>
      </c>
      <c r="CJ39" s="91">
        <v>45716</v>
      </c>
      <c r="CK39" s="91" t="s">
        <v>232</v>
      </c>
      <c r="CL39" s="11" t="s">
        <v>232</v>
      </c>
      <c r="CM39" s="91" t="s">
        <v>232</v>
      </c>
      <c r="CN39" s="91" t="s">
        <v>232</v>
      </c>
      <c r="CO39" s="91">
        <v>45700</v>
      </c>
      <c r="CP39" s="91" t="s">
        <v>232</v>
      </c>
      <c r="CQ39" s="10" t="s">
        <v>232</v>
      </c>
      <c r="CR39" s="10">
        <v>45746</v>
      </c>
      <c r="CS39" s="10" t="s">
        <v>232</v>
      </c>
      <c r="CT39" s="10" t="s">
        <v>232</v>
      </c>
      <c r="CU39" s="11" t="s">
        <v>232</v>
      </c>
      <c r="CV39" s="11"/>
      <c r="CW39" s="11" t="s">
        <v>232</v>
      </c>
      <c r="CX39" s="11" t="s">
        <v>232</v>
      </c>
      <c r="CY39" s="11"/>
      <c r="CZ39" s="11"/>
    </row>
    <row r="40" spans="2:104" ht="50.25" customHeight="1">
      <c r="B40" s="331">
        <v>36</v>
      </c>
      <c r="C40" s="321" t="s">
        <v>104</v>
      </c>
      <c r="D40" s="376" t="s">
        <v>105</v>
      </c>
      <c r="E40" s="376" t="s">
        <v>346</v>
      </c>
      <c r="F40" s="377" t="s">
        <v>347</v>
      </c>
      <c r="G40" s="442" t="s">
        <v>348</v>
      </c>
      <c r="H40" s="319">
        <v>45734</v>
      </c>
      <c r="I40" s="91">
        <f t="shared" si="0"/>
        <v>46463</v>
      </c>
      <c r="J40" s="319">
        <v>45735</v>
      </c>
      <c r="K40" s="91">
        <f t="shared" si="1"/>
        <v>46464</v>
      </c>
      <c r="L40" s="319">
        <v>45736</v>
      </c>
      <c r="M40" s="91">
        <f t="shared" si="2"/>
        <v>46465</v>
      </c>
      <c r="N40" s="91">
        <v>45819</v>
      </c>
      <c r="O40" s="91">
        <v>46549</v>
      </c>
      <c r="P40" s="91">
        <v>45819</v>
      </c>
      <c r="Q40" s="91">
        <f t="shared" si="29"/>
        <v>46548</v>
      </c>
      <c r="R40" s="91" t="s">
        <v>231</v>
      </c>
      <c r="S40" s="91" t="s">
        <v>231</v>
      </c>
      <c r="T40" s="317">
        <v>45825</v>
      </c>
      <c r="U40" s="91">
        <f t="shared" si="28"/>
        <v>46554</v>
      </c>
      <c r="V40" s="91" t="s">
        <v>232</v>
      </c>
      <c r="W40" s="91" t="s">
        <v>232</v>
      </c>
      <c r="X40" s="317">
        <v>45834</v>
      </c>
      <c r="Y40" s="91">
        <f t="shared" ref="Y40:Y44" si="30">IF(ISBLANK(X40),"",EDATE(X40,24))-1</f>
        <v>46563</v>
      </c>
      <c r="Z40" s="91" t="s">
        <v>231</v>
      </c>
      <c r="AA40" s="91" t="s">
        <v>231</v>
      </c>
      <c r="AB40" s="317" t="s">
        <v>232</v>
      </c>
      <c r="AC40" s="317" t="s">
        <v>232</v>
      </c>
      <c r="AD40" s="319">
        <v>45795</v>
      </c>
      <c r="AE40" s="91">
        <f>IF(ISBLANK(AD40),"",EDATE(AD40,24))-1</f>
        <v>46524</v>
      </c>
      <c r="AF40" s="319">
        <v>45733</v>
      </c>
      <c r="AG40" s="91">
        <f t="shared" si="25"/>
        <v>46462</v>
      </c>
      <c r="AH40" s="91">
        <v>45741</v>
      </c>
      <c r="AI40" s="91">
        <f t="shared" si="23"/>
        <v>46470</v>
      </c>
      <c r="AJ40" s="91">
        <v>45744</v>
      </c>
      <c r="AK40" s="91">
        <f t="shared" si="24"/>
        <v>46473</v>
      </c>
      <c r="AL40" s="319">
        <v>45785</v>
      </c>
      <c r="AM40" s="380">
        <f t="shared" si="27"/>
        <v>46149</v>
      </c>
      <c r="AN40" s="91">
        <v>45786</v>
      </c>
      <c r="AO40" s="91">
        <f t="shared" si="7"/>
        <v>46515</v>
      </c>
      <c r="AP40" s="91">
        <v>45721</v>
      </c>
      <c r="AQ40" s="91">
        <f t="shared" si="8"/>
        <v>46450</v>
      </c>
      <c r="AR40" s="91">
        <v>45784</v>
      </c>
      <c r="AS40" s="91">
        <f t="shared" si="9"/>
        <v>46513</v>
      </c>
      <c r="AT40" s="317" t="s">
        <v>232</v>
      </c>
      <c r="AU40" s="317" t="s">
        <v>232</v>
      </c>
      <c r="AV40" s="317" t="s">
        <v>232</v>
      </c>
      <c r="AW40" s="317" t="s">
        <v>232</v>
      </c>
      <c r="AX40" s="91">
        <v>45781</v>
      </c>
      <c r="AY40" s="91">
        <f>IF(ISBLANK(AX40),"",EDATE(AX40,24))</f>
        <v>46511</v>
      </c>
      <c r="AZ40" s="91" t="s">
        <v>232</v>
      </c>
      <c r="BA40" s="317" t="s">
        <v>232</v>
      </c>
      <c r="BB40" s="317" t="s">
        <v>232</v>
      </c>
      <c r="BC40" s="317" t="s">
        <v>232</v>
      </c>
      <c r="BD40" s="317" t="s">
        <v>232</v>
      </c>
      <c r="BE40" s="317" t="s">
        <v>232</v>
      </c>
      <c r="BF40" s="91">
        <v>45715</v>
      </c>
      <c r="BG40" s="90">
        <f>IF(ISBLANK(BF40),"",EDATE(BF40,24))-1</f>
        <v>46444</v>
      </c>
      <c r="BH40" s="317" t="s">
        <v>232</v>
      </c>
      <c r="BI40" s="317" t="s">
        <v>232</v>
      </c>
      <c r="BJ40" s="317" t="s">
        <v>232</v>
      </c>
      <c r="BK40" s="317" t="s">
        <v>232</v>
      </c>
      <c r="BL40" s="91">
        <v>45737</v>
      </c>
      <c r="BM40" s="91">
        <f t="shared" si="10"/>
        <v>46466</v>
      </c>
      <c r="BN40" s="91" t="s">
        <v>232</v>
      </c>
      <c r="BO40" s="91" t="s">
        <v>232</v>
      </c>
      <c r="BP40" s="317" t="s">
        <v>232</v>
      </c>
      <c r="BQ40" s="91" t="s">
        <v>232</v>
      </c>
      <c r="BR40" s="91" t="s">
        <v>232</v>
      </c>
      <c r="BS40" s="91" t="s">
        <v>232</v>
      </c>
      <c r="BT40" s="91" t="s">
        <v>232</v>
      </c>
      <c r="BU40" s="91">
        <v>45751</v>
      </c>
      <c r="BV40" s="91">
        <v>45758</v>
      </c>
      <c r="BW40" s="91">
        <v>45754</v>
      </c>
      <c r="BX40" s="91">
        <v>45754</v>
      </c>
      <c r="BY40" s="91">
        <v>45750</v>
      </c>
      <c r="BZ40" s="10">
        <v>46013</v>
      </c>
      <c r="CA40" s="91">
        <v>45749</v>
      </c>
      <c r="CB40" s="91">
        <v>45790</v>
      </c>
      <c r="CC40" s="91">
        <v>45749</v>
      </c>
      <c r="CD40" s="91">
        <v>45756</v>
      </c>
      <c r="CE40" s="91" t="s">
        <v>232</v>
      </c>
      <c r="CF40" s="91" t="s">
        <v>232</v>
      </c>
      <c r="CG40" s="91">
        <v>45814</v>
      </c>
      <c r="CH40" s="91">
        <v>45731</v>
      </c>
      <c r="CI40" s="91" t="s">
        <v>232</v>
      </c>
      <c r="CJ40" s="91" t="s">
        <v>232</v>
      </c>
      <c r="CK40" s="91" t="s">
        <v>232</v>
      </c>
      <c r="CL40" s="11" t="s">
        <v>232</v>
      </c>
      <c r="CM40" s="91" t="s">
        <v>232</v>
      </c>
      <c r="CN40" s="91" t="s">
        <v>232</v>
      </c>
      <c r="CO40" s="91">
        <v>45763</v>
      </c>
      <c r="CP40" s="91"/>
      <c r="CQ40" s="10">
        <v>45742</v>
      </c>
      <c r="CR40" s="10" t="s">
        <v>232</v>
      </c>
      <c r="CS40" s="10">
        <v>45716</v>
      </c>
      <c r="CT40" s="10" t="s">
        <v>232</v>
      </c>
      <c r="CU40" s="11" t="s">
        <v>232</v>
      </c>
      <c r="CV40" s="11">
        <v>46070</v>
      </c>
      <c r="CW40" s="11" t="s">
        <v>232</v>
      </c>
      <c r="CX40" s="11" t="s">
        <v>232</v>
      </c>
      <c r="CY40" s="11"/>
      <c r="CZ40" s="10">
        <v>46017</v>
      </c>
    </row>
    <row r="41" spans="2:104" ht="88.5" customHeight="1">
      <c r="B41" s="331">
        <v>37</v>
      </c>
      <c r="C41" s="321" t="s">
        <v>349</v>
      </c>
      <c r="D41" s="376" t="s">
        <v>350</v>
      </c>
      <c r="E41" s="376" t="s">
        <v>351</v>
      </c>
      <c r="F41" s="377" t="s">
        <v>352</v>
      </c>
      <c r="G41" s="442" t="s">
        <v>353</v>
      </c>
      <c r="H41" s="319">
        <v>45664</v>
      </c>
      <c r="I41" s="91">
        <f t="shared" si="0"/>
        <v>46393</v>
      </c>
      <c r="J41" s="319">
        <v>45665</v>
      </c>
      <c r="K41" s="91">
        <f t="shared" si="1"/>
        <v>46394</v>
      </c>
      <c r="L41" s="319">
        <v>45666</v>
      </c>
      <c r="M41" s="91">
        <f t="shared" si="2"/>
        <v>46395</v>
      </c>
      <c r="N41" s="91">
        <v>45659</v>
      </c>
      <c r="O41" s="91">
        <f>IF(ISBLANK(N41),"",EDATE(N41,24))</f>
        <v>46389</v>
      </c>
      <c r="P41" s="91">
        <v>45660</v>
      </c>
      <c r="Q41" s="91">
        <f t="shared" si="29"/>
        <v>46389</v>
      </c>
      <c r="R41" s="91">
        <v>45678</v>
      </c>
      <c r="S41" s="91">
        <f>IF(ISBLANK(R41),"",EDATE(R41,24))-1</f>
        <v>46407</v>
      </c>
      <c r="T41" s="91">
        <v>45680</v>
      </c>
      <c r="U41" s="91">
        <f t="shared" si="28"/>
        <v>46409</v>
      </c>
      <c r="V41" s="91">
        <v>45695</v>
      </c>
      <c r="W41" s="91">
        <f>IF(ISBLANK(V41),"",EDATE(V41,24))-1</f>
        <v>46424</v>
      </c>
      <c r="X41" s="91">
        <v>45685</v>
      </c>
      <c r="Y41" s="91">
        <f t="shared" si="30"/>
        <v>46414</v>
      </c>
      <c r="Z41" s="317" t="s">
        <v>232</v>
      </c>
      <c r="AA41" s="317" t="s">
        <v>232</v>
      </c>
      <c r="AB41" s="317" t="s">
        <v>232</v>
      </c>
      <c r="AC41" s="317" t="s">
        <v>232</v>
      </c>
      <c r="AD41" s="317" t="s">
        <v>232</v>
      </c>
      <c r="AE41" s="317" t="s">
        <v>232</v>
      </c>
      <c r="AF41" s="319">
        <v>45663</v>
      </c>
      <c r="AG41" s="91">
        <f t="shared" si="25"/>
        <v>46392</v>
      </c>
      <c r="AH41" s="91">
        <v>45673</v>
      </c>
      <c r="AI41" s="91">
        <f t="shared" si="23"/>
        <v>46402</v>
      </c>
      <c r="AJ41" s="91">
        <v>45674</v>
      </c>
      <c r="AK41" s="91">
        <f t="shared" si="24"/>
        <v>46403</v>
      </c>
      <c r="AL41" s="91">
        <v>46069</v>
      </c>
      <c r="AM41" s="91">
        <f>IF(ISBLANK(AL41),"",EDATE(AL41,12))-1</f>
        <v>46433</v>
      </c>
      <c r="AN41" s="91">
        <v>45708</v>
      </c>
      <c r="AO41" s="91">
        <f t="shared" si="7"/>
        <v>46437</v>
      </c>
      <c r="AP41" s="91">
        <v>45709</v>
      </c>
      <c r="AQ41" s="91">
        <f t="shared" si="8"/>
        <v>46438</v>
      </c>
      <c r="AR41" s="91">
        <v>45784</v>
      </c>
      <c r="AS41" s="91">
        <f t="shared" si="9"/>
        <v>46513</v>
      </c>
      <c r="AT41" s="317" t="s">
        <v>232</v>
      </c>
      <c r="AU41" s="317" t="s">
        <v>232</v>
      </c>
      <c r="AV41" s="317" t="s">
        <v>232</v>
      </c>
      <c r="AW41" s="317" t="s">
        <v>232</v>
      </c>
      <c r="AX41" s="317" t="s">
        <v>232</v>
      </c>
      <c r="AY41" s="317" t="s">
        <v>232</v>
      </c>
      <c r="AZ41" s="317">
        <v>45812</v>
      </c>
      <c r="BA41" s="91">
        <f>IF(ISBLANK(AZ41),"",EDATE(AZ41,24))-1</f>
        <v>46541</v>
      </c>
      <c r="BB41" s="317" t="s">
        <v>232</v>
      </c>
      <c r="BC41" s="317" t="s">
        <v>232</v>
      </c>
      <c r="BD41" s="91">
        <v>45714</v>
      </c>
      <c r="BE41" s="90">
        <f>IF(ISBLANK(BD41),"",EDATE(BD41,24))-1</f>
        <v>46443</v>
      </c>
      <c r="BF41" s="317" t="s">
        <v>232</v>
      </c>
      <c r="BG41" s="317" t="s">
        <v>232</v>
      </c>
      <c r="BH41" s="317" t="s">
        <v>232</v>
      </c>
      <c r="BI41" s="317" t="s">
        <v>232</v>
      </c>
      <c r="BJ41" s="317" t="s">
        <v>232</v>
      </c>
      <c r="BK41" s="317" t="s">
        <v>232</v>
      </c>
      <c r="BL41" s="91">
        <v>45667</v>
      </c>
      <c r="BM41" s="91">
        <f t="shared" si="10"/>
        <v>46396</v>
      </c>
      <c r="BN41" s="91" t="s">
        <v>232</v>
      </c>
      <c r="BO41" s="91" t="s">
        <v>232</v>
      </c>
      <c r="BP41" s="91" t="s">
        <v>232</v>
      </c>
      <c r="BQ41" s="91" t="s">
        <v>232</v>
      </c>
      <c r="BR41" s="91" t="s">
        <v>232</v>
      </c>
      <c r="BS41" s="91" t="s">
        <v>232</v>
      </c>
      <c r="BT41" s="91" t="s">
        <v>232</v>
      </c>
      <c r="BU41" s="91">
        <v>45693</v>
      </c>
      <c r="BV41" s="91">
        <v>45712</v>
      </c>
      <c r="BW41" s="91">
        <v>45696</v>
      </c>
      <c r="BX41" s="91">
        <v>45696</v>
      </c>
      <c r="BY41" s="91">
        <v>45692</v>
      </c>
      <c r="BZ41" s="91">
        <v>45724</v>
      </c>
      <c r="CA41" s="91">
        <v>45698</v>
      </c>
      <c r="CB41" s="91" t="s">
        <v>232</v>
      </c>
      <c r="CC41" s="91">
        <v>45698</v>
      </c>
      <c r="CD41" s="91">
        <v>45706</v>
      </c>
      <c r="CE41" s="91" t="s">
        <v>232</v>
      </c>
      <c r="CF41" s="91">
        <v>45720</v>
      </c>
      <c r="CG41" s="91" t="s">
        <v>232</v>
      </c>
      <c r="CH41" s="91">
        <v>45731</v>
      </c>
      <c r="CI41" s="91">
        <v>45716</v>
      </c>
      <c r="CJ41" s="91">
        <v>45716</v>
      </c>
      <c r="CK41" s="91" t="s">
        <v>232</v>
      </c>
      <c r="CL41" s="427" t="s">
        <v>232</v>
      </c>
      <c r="CM41" s="91" t="s">
        <v>232</v>
      </c>
      <c r="CN41" s="91" t="s">
        <v>232</v>
      </c>
      <c r="CO41" s="91">
        <v>45699</v>
      </c>
      <c r="CP41" s="91" t="s">
        <v>232</v>
      </c>
      <c r="CQ41" s="10" t="s">
        <v>232</v>
      </c>
      <c r="CR41" s="10" t="s">
        <v>232</v>
      </c>
      <c r="CS41" s="10" t="s">
        <v>232</v>
      </c>
      <c r="CT41" s="10">
        <v>45828</v>
      </c>
      <c r="CU41" s="11" t="s">
        <v>232</v>
      </c>
      <c r="CV41" s="11"/>
      <c r="CW41" s="11" t="s">
        <v>232</v>
      </c>
      <c r="CX41" s="10">
        <v>45905</v>
      </c>
      <c r="CY41" s="10">
        <v>45953</v>
      </c>
      <c r="CZ41" s="11"/>
    </row>
    <row r="42" spans="2:104" ht="99" customHeight="1">
      <c r="B42" s="331">
        <v>38</v>
      </c>
      <c r="C42" s="321" t="s">
        <v>354</v>
      </c>
      <c r="D42" s="376" t="s">
        <v>355</v>
      </c>
      <c r="E42" s="376" t="s">
        <v>356</v>
      </c>
      <c r="F42" s="377" t="s">
        <v>357</v>
      </c>
      <c r="G42" s="440" t="s">
        <v>358</v>
      </c>
      <c r="H42" s="319">
        <v>45664</v>
      </c>
      <c r="I42" s="91">
        <f t="shared" si="0"/>
        <v>46393</v>
      </c>
      <c r="J42" s="319">
        <v>45665</v>
      </c>
      <c r="K42" s="91">
        <f t="shared" si="1"/>
        <v>46394</v>
      </c>
      <c r="L42" s="319">
        <v>45666</v>
      </c>
      <c r="M42" s="91">
        <f t="shared" si="2"/>
        <v>46395</v>
      </c>
      <c r="N42" s="91">
        <v>45659</v>
      </c>
      <c r="O42" s="91">
        <f>IF(ISBLANK(N42),"",EDATE(N42,24))-1</f>
        <v>46388</v>
      </c>
      <c r="P42" s="91">
        <v>45660</v>
      </c>
      <c r="Q42" s="91">
        <f t="shared" si="29"/>
        <v>46389</v>
      </c>
      <c r="R42" s="91" t="s">
        <v>231</v>
      </c>
      <c r="S42" s="91" t="s">
        <v>231</v>
      </c>
      <c r="T42" s="91">
        <v>45680</v>
      </c>
      <c r="U42" s="91">
        <f t="shared" si="28"/>
        <v>46409</v>
      </c>
      <c r="V42" s="91">
        <v>45695</v>
      </c>
      <c r="W42" s="91">
        <f>IF(ISBLANK(V42),"",EDATE(V42,24))-1</f>
        <v>46424</v>
      </c>
      <c r="X42" s="91">
        <v>45685</v>
      </c>
      <c r="Y42" s="91">
        <f t="shared" si="30"/>
        <v>46414</v>
      </c>
      <c r="Z42" s="91" t="s">
        <v>231</v>
      </c>
      <c r="AA42" s="91" t="s">
        <v>231</v>
      </c>
      <c r="AB42" s="317" t="s">
        <v>232</v>
      </c>
      <c r="AC42" s="317" t="s">
        <v>232</v>
      </c>
      <c r="AD42" s="317" t="s">
        <v>232</v>
      </c>
      <c r="AE42" s="317" t="s">
        <v>232</v>
      </c>
      <c r="AF42" s="319">
        <v>45663</v>
      </c>
      <c r="AG42" s="91">
        <f t="shared" si="25"/>
        <v>46392</v>
      </c>
      <c r="AH42" s="91">
        <v>45673</v>
      </c>
      <c r="AI42" s="91">
        <f t="shared" si="23"/>
        <v>46402</v>
      </c>
      <c r="AJ42" s="91">
        <v>45674</v>
      </c>
      <c r="AK42" s="91">
        <f t="shared" si="24"/>
        <v>46403</v>
      </c>
      <c r="AL42" s="91">
        <v>46069</v>
      </c>
      <c r="AM42" s="91">
        <f>IF(ISBLANK(AL42),"",EDATE(AL42,12))-1</f>
        <v>46433</v>
      </c>
      <c r="AN42" s="91">
        <v>45708</v>
      </c>
      <c r="AO42" s="91">
        <f t="shared" si="7"/>
        <v>46437</v>
      </c>
      <c r="AP42" s="91">
        <v>45709</v>
      </c>
      <c r="AQ42" s="91">
        <f t="shared" si="8"/>
        <v>46438</v>
      </c>
      <c r="AR42" s="91">
        <v>45784</v>
      </c>
      <c r="AS42" s="91">
        <f t="shared" si="9"/>
        <v>46513</v>
      </c>
      <c r="AT42" s="317" t="s">
        <v>232</v>
      </c>
      <c r="AU42" s="317" t="s">
        <v>232</v>
      </c>
      <c r="AV42" s="317" t="s">
        <v>232</v>
      </c>
      <c r="AW42" s="317" t="s">
        <v>232</v>
      </c>
      <c r="AX42" s="91">
        <v>45720</v>
      </c>
      <c r="AY42" s="91">
        <f>IF(ISBLANK(AX42),"",EDATE(AX42,24))-1</f>
        <v>46449</v>
      </c>
      <c r="AZ42" s="91" t="s">
        <v>232</v>
      </c>
      <c r="BA42" s="317" t="s">
        <v>232</v>
      </c>
      <c r="BB42" s="317" t="s">
        <v>232</v>
      </c>
      <c r="BC42" s="317" t="s">
        <v>232</v>
      </c>
      <c r="BD42" s="317" t="s">
        <v>232</v>
      </c>
      <c r="BE42" s="317" t="s">
        <v>232</v>
      </c>
      <c r="BF42" s="317" t="s">
        <v>232</v>
      </c>
      <c r="BG42" s="317" t="s">
        <v>232</v>
      </c>
      <c r="BH42" s="317" t="s">
        <v>232</v>
      </c>
      <c r="BI42" s="317" t="s">
        <v>232</v>
      </c>
      <c r="BJ42" s="317" t="s">
        <v>232</v>
      </c>
      <c r="BK42" s="317" t="s">
        <v>232</v>
      </c>
      <c r="BL42" s="91">
        <v>45667</v>
      </c>
      <c r="BM42" s="91">
        <f t="shared" si="10"/>
        <v>46396</v>
      </c>
      <c r="BN42" s="91" t="s">
        <v>232</v>
      </c>
      <c r="BO42" s="91" t="s">
        <v>232</v>
      </c>
      <c r="BP42" s="317" t="s">
        <v>232</v>
      </c>
      <c r="BQ42" s="91" t="s">
        <v>232</v>
      </c>
      <c r="BR42" s="91" t="s">
        <v>232</v>
      </c>
      <c r="BS42" s="91" t="s">
        <v>232</v>
      </c>
      <c r="BT42" s="91" t="s">
        <v>232</v>
      </c>
      <c r="BU42" s="91">
        <v>45693</v>
      </c>
      <c r="BV42" s="91">
        <v>45712</v>
      </c>
      <c r="BW42" s="91">
        <v>45696</v>
      </c>
      <c r="BX42" s="91">
        <v>45696</v>
      </c>
      <c r="BY42" s="91">
        <v>45692</v>
      </c>
      <c r="BZ42" s="91" t="s">
        <v>232</v>
      </c>
      <c r="CA42" s="91">
        <v>45698</v>
      </c>
      <c r="CB42" s="91">
        <v>45790</v>
      </c>
      <c r="CC42" s="91">
        <v>45698</v>
      </c>
      <c r="CD42" s="91">
        <v>45706</v>
      </c>
      <c r="CE42" s="91" t="s">
        <v>232</v>
      </c>
      <c r="CF42" s="91">
        <v>45720</v>
      </c>
      <c r="CG42" s="91">
        <v>45814</v>
      </c>
      <c r="CH42" s="91" t="s">
        <v>232</v>
      </c>
      <c r="CI42" s="91">
        <v>45716</v>
      </c>
      <c r="CJ42" s="91">
        <v>45716</v>
      </c>
      <c r="CK42" s="91" t="s">
        <v>232</v>
      </c>
      <c r="CL42" s="427" t="s">
        <v>232</v>
      </c>
      <c r="CM42" s="91" t="s">
        <v>232</v>
      </c>
      <c r="CN42" s="91" t="s">
        <v>232</v>
      </c>
      <c r="CO42" s="91">
        <v>45698</v>
      </c>
      <c r="CP42" s="91" t="s">
        <v>232</v>
      </c>
      <c r="CQ42" s="10">
        <v>45785</v>
      </c>
      <c r="CR42" s="10">
        <v>45807</v>
      </c>
      <c r="CS42" s="10">
        <v>45807</v>
      </c>
      <c r="CT42" s="10" t="s">
        <v>232</v>
      </c>
      <c r="CU42" s="11" t="s">
        <v>232</v>
      </c>
      <c r="CV42" s="11">
        <v>46070</v>
      </c>
      <c r="CW42" s="11" t="s">
        <v>232</v>
      </c>
      <c r="CX42" s="10">
        <v>45905</v>
      </c>
      <c r="CY42" s="10"/>
      <c r="CZ42" s="10">
        <v>46017</v>
      </c>
    </row>
    <row r="43" spans="2:104" ht="102.6" customHeight="1">
      <c r="B43" s="331">
        <v>39</v>
      </c>
      <c r="C43" s="321" t="s">
        <v>359</v>
      </c>
      <c r="D43" s="376" t="s">
        <v>360</v>
      </c>
      <c r="E43" s="376" t="s">
        <v>361</v>
      </c>
      <c r="F43" s="377" t="s">
        <v>357</v>
      </c>
      <c r="G43" s="440" t="s">
        <v>362</v>
      </c>
      <c r="H43" s="319">
        <v>45664</v>
      </c>
      <c r="I43" s="91">
        <f t="shared" si="0"/>
        <v>46393</v>
      </c>
      <c r="J43" s="319">
        <v>45665</v>
      </c>
      <c r="K43" s="91">
        <f t="shared" si="1"/>
        <v>46394</v>
      </c>
      <c r="L43" s="319">
        <v>45666</v>
      </c>
      <c r="M43" s="91">
        <f t="shared" si="2"/>
        <v>46395</v>
      </c>
      <c r="N43" s="91">
        <v>45659</v>
      </c>
      <c r="O43" s="91">
        <f>IF(ISBLANK(N43),"",EDATE(N43,24))</f>
        <v>46389</v>
      </c>
      <c r="P43" s="91">
        <v>45660</v>
      </c>
      <c r="Q43" s="91">
        <f t="shared" si="29"/>
        <v>46389</v>
      </c>
      <c r="R43" s="91" t="s">
        <v>231</v>
      </c>
      <c r="S43" s="91" t="s">
        <v>231</v>
      </c>
      <c r="T43" s="91">
        <v>45680</v>
      </c>
      <c r="U43" s="91">
        <f t="shared" si="28"/>
        <v>46409</v>
      </c>
      <c r="V43" s="91">
        <v>45695</v>
      </c>
      <c r="W43" s="91">
        <f>IF(ISBLANK(V43),"",EDATE(V43,24))-1</f>
        <v>46424</v>
      </c>
      <c r="X43" s="91">
        <v>45685</v>
      </c>
      <c r="Y43" s="91">
        <f t="shared" si="30"/>
        <v>46414</v>
      </c>
      <c r="Z43" s="91" t="s">
        <v>231</v>
      </c>
      <c r="AA43" s="91" t="s">
        <v>231</v>
      </c>
      <c r="AB43" s="317" t="s">
        <v>232</v>
      </c>
      <c r="AC43" s="317" t="s">
        <v>232</v>
      </c>
      <c r="AD43" s="317" t="s">
        <v>232</v>
      </c>
      <c r="AE43" s="317" t="s">
        <v>232</v>
      </c>
      <c r="AF43" s="319">
        <v>45663</v>
      </c>
      <c r="AG43" s="91">
        <f t="shared" si="25"/>
        <v>46392</v>
      </c>
      <c r="AH43" s="91">
        <v>45673</v>
      </c>
      <c r="AI43" s="91">
        <f t="shared" si="23"/>
        <v>46402</v>
      </c>
      <c r="AJ43" s="91">
        <v>45674</v>
      </c>
      <c r="AK43" s="91">
        <f t="shared" si="24"/>
        <v>46403</v>
      </c>
      <c r="AL43" s="91">
        <v>46069</v>
      </c>
      <c r="AM43" s="91">
        <f>IF(ISBLANK(AL43),"",EDATE(AL43,12))-1</f>
        <v>46433</v>
      </c>
      <c r="AN43" s="91">
        <v>45708</v>
      </c>
      <c r="AO43" s="91">
        <f t="shared" si="7"/>
        <v>46437</v>
      </c>
      <c r="AP43" s="91">
        <v>45709</v>
      </c>
      <c r="AQ43" s="91">
        <f t="shared" si="8"/>
        <v>46438</v>
      </c>
      <c r="AR43" s="91">
        <v>45784</v>
      </c>
      <c r="AS43" s="91">
        <f t="shared" si="9"/>
        <v>46513</v>
      </c>
      <c r="AT43" s="91">
        <v>45691</v>
      </c>
      <c r="AU43" s="91">
        <f>IF(ISBLANK(AT43),"",EDATE(AT43,24))-1</f>
        <v>46420</v>
      </c>
      <c r="AV43" s="317" t="s">
        <v>232</v>
      </c>
      <c r="AW43" s="317" t="s">
        <v>232</v>
      </c>
      <c r="AX43" s="91">
        <v>45781</v>
      </c>
      <c r="AY43" s="91">
        <f>IF(ISBLANK(AX43),"",EDATE(AX43,24))-1</f>
        <v>46510</v>
      </c>
      <c r="AZ43" s="91" t="s">
        <v>232</v>
      </c>
      <c r="BA43" s="317" t="s">
        <v>232</v>
      </c>
      <c r="BB43" s="317" t="s">
        <v>232</v>
      </c>
      <c r="BC43" s="317" t="s">
        <v>232</v>
      </c>
      <c r="BD43" s="317" t="s">
        <v>232</v>
      </c>
      <c r="BE43" s="317" t="s">
        <v>232</v>
      </c>
      <c r="BF43" s="317" t="s">
        <v>232</v>
      </c>
      <c r="BG43" s="317" t="s">
        <v>232</v>
      </c>
      <c r="BH43" s="317" t="s">
        <v>232</v>
      </c>
      <c r="BI43" s="317" t="s">
        <v>232</v>
      </c>
      <c r="BJ43" s="317" t="s">
        <v>232</v>
      </c>
      <c r="BK43" s="317" t="s">
        <v>232</v>
      </c>
      <c r="BL43" s="91">
        <v>45667</v>
      </c>
      <c r="BM43" s="91">
        <f t="shared" si="10"/>
        <v>46396</v>
      </c>
      <c r="BN43" s="91" t="s">
        <v>232</v>
      </c>
      <c r="BO43" s="91" t="s">
        <v>232</v>
      </c>
      <c r="BP43" s="91" t="s">
        <v>232</v>
      </c>
      <c r="BQ43" s="91" t="s">
        <v>232</v>
      </c>
      <c r="BR43" s="91" t="s">
        <v>232</v>
      </c>
      <c r="BS43" s="91" t="s">
        <v>232</v>
      </c>
      <c r="BT43" s="91" t="s">
        <v>232</v>
      </c>
      <c r="BU43" s="91">
        <v>45693</v>
      </c>
      <c r="BV43" s="91">
        <v>45712</v>
      </c>
      <c r="BW43" s="91">
        <v>45696</v>
      </c>
      <c r="BX43" s="91">
        <v>45696</v>
      </c>
      <c r="BY43" s="91">
        <v>45692</v>
      </c>
      <c r="BZ43" s="91" t="s">
        <v>232</v>
      </c>
      <c r="CA43" s="91">
        <v>45698</v>
      </c>
      <c r="CB43" s="91">
        <v>45790</v>
      </c>
      <c r="CC43" s="91">
        <v>45698</v>
      </c>
      <c r="CD43" s="91">
        <v>45706</v>
      </c>
      <c r="CE43" s="91" t="s">
        <v>232</v>
      </c>
      <c r="CF43" s="91">
        <v>45720</v>
      </c>
      <c r="CG43" s="91">
        <v>45814</v>
      </c>
      <c r="CH43" s="91">
        <v>45857</v>
      </c>
      <c r="CI43" s="91">
        <v>45716</v>
      </c>
      <c r="CJ43" s="91">
        <v>45716</v>
      </c>
      <c r="CK43" s="91" t="s">
        <v>232</v>
      </c>
      <c r="CL43" s="427" t="s">
        <v>232</v>
      </c>
      <c r="CM43" s="91" t="s">
        <v>232</v>
      </c>
      <c r="CN43" s="91" t="s">
        <v>232</v>
      </c>
      <c r="CO43" s="91">
        <v>45699</v>
      </c>
      <c r="CP43" s="91" t="s">
        <v>232</v>
      </c>
      <c r="CQ43" s="10">
        <v>45785</v>
      </c>
      <c r="CR43" s="10">
        <v>45807</v>
      </c>
      <c r="CS43" s="10">
        <v>45807</v>
      </c>
      <c r="CT43" s="10" t="s">
        <v>232</v>
      </c>
      <c r="CU43" s="11" t="s">
        <v>232</v>
      </c>
      <c r="CV43" s="11">
        <v>46070</v>
      </c>
      <c r="CW43" s="11" t="s">
        <v>232</v>
      </c>
      <c r="CX43" s="10">
        <v>45882</v>
      </c>
      <c r="CY43" s="10">
        <v>45951</v>
      </c>
      <c r="CZ43" s="11"/>
    </row>
    <row r="44" spans="2:104" ht="50.25" customHeight="1">
      <c r="B44" s="331">
        <v>40</v>
      </c>
      <c r="C44" s="321" t="s">
        <v>363</v>
      </c>
      <c r="D44" s="376" t="s">
        <v>364</v>
      </c>
      <c r="E44" s="376" t="s">
        <v>365</v>
      </c>
      <c r="F44" s="377" t="s">
        <v>357</v>
      </c>
      <c r="G44" s="439" t="s">
        <v>366</v>
      </c>
      <c r="H44" s="319">
        <v>45664</v>
      </c>
      <c r="I44" s="91">
        <f t="shared" si="0"/>
        <v>46393</v>
      </c>
      <c r="J44" s="319">
        <v>45665</v>
      </c>
      <c r="K44" s="91">
        <f t="shared" si="1"/>
        <v>46394</v>
      </c>
      <c r="L44" s="319">
        <v>45666</v>
      </c>
      <c r="M44" s="91">
        <f t="shared" si="2"/>
        <v>46395</v>
      </c>
      <c r="N44" s="91">
        <v>45659</v>
      </c>
      <c r="O44" s="91">
        <f>IF(ISBLANK(N44),"",EDATE(N44,24))</f>
        <v>46389</v>
      </c>
      <c r="P44" s="91">
        <v>45660</v>
      </c>
      <c r="Q44" s="91">
        <f t="shared" si="29"/>
        <v>46389</v>
      </c>
      <c r="R44" s="91" t="s">
        <v>231</v>
      </c>
      <c r="S44" s="91" t="s">
        <v>231</v>
      </c>
      <c r="T44" s="91">
        <v>45680</v>
      </c>
      <c r="U44" s="91">
        <f t="shared" si="28"/>
        <v>46409</v>
      </c>
      <c r="V44" s="91">
        <v>45695</v>
      </c>
      <c r="W44" s="91">
        <f>IF(ISBLANK(V44),"",EDATE(V44,24))-1</f>
        <v>46424</v>
      </c>
      <c r="X44" s="91">
        <v>45685</v>
      </c>
      <c r="Y44" s="91">
        <f t="shared" si="30"/>
        <v>46414</v>
      </c>
      <c r="Z44" s="317" t="s">
        <v>232</v>
      </c>
      <c r="AA44" s="317" t="s">
        <v>232</v>
      </c>
      <c r="AB44" s="317" t="s">
        <v>232</v>
      </c>
      <c r="AC44" s="317" t="s">
        <v>232</v>
      </c>
      <c r="AD44" s="317" t="s">
        <v>232</v>
      </c>
      <c r="AE44" s="317" t="s">
        <v>232</v>
      </c>
      <c r="AF44" s="319">
        <v>45663</v>
      </c>
      <c r="AG44" s="91">
        <f t="shared" si="25"/>
        <v>46392</v>
      </c>
      <c r="AH44" s="91">
        <v>45673</v>
      </c>
      <c r="AI44" s="91">
        <f t="shared" si="23"/>
        <v>46402</v>
      </c>
      <c r="AJ44" s="91">
        <v>45674</v>
      </c>
      <c r="AK44" s="91">
        <f t="shared" si="24"/>
        <v>46403</v>
      </c>
      <c r="AL44" s="91">
        <v>46069</v>
      </c>
      <c r="AM44" s="91">
        <f>IF(ISBLANK(AL44),"",EDATE(AL44,12))-1</f>
        <v>46433</v>
      </c>
      <c r="AN44" s="91">
        <v>45708</v>
      </c>
      <c r="AO44" s="91">
        <f t="shared" si="7"/>
        <v>46437</v>
      </c>
      <c r="AP44" s="91">
        <v>45709</v>
      </c>
      <c r="AQ44" s="91">
        <f t="shared" si="8"/>
        <v>46438</v>
      </c>
      <c r="AR44" s="91" t="s">
        <v>232</v>
      </c>
      <c r="AS44" s="91" t="e">
        <f t="shared" si="9"/>
        <v>#VALUE!</v>
      </c>
      <c r="AT44" s="317" t="s">
        <v>232</v>
      </c>
      <c r="AU44" s="317" t="s">
        <v>232</v>
      </c>
      <c r="AV44" s="317" t="s">
        <v>232</v>
      </c>
      <c r="AW44" s="317" t="s">
        <v>232</v>
      </c>
      <c r="AX44" s="91">
        <v>45828</v>
      </c>
      <c r="AY44" s="91">
        <v>46558</v>
      </c>
      <c r="AZ44" s="91" t="s">
        <v>232</v>
      </c>
      <c r="BA44" s="317" t="s">
        <v>232</v>
      </c>
      <c r="BB44" s="317" t="s">
        <v>232</v>
      </c>
      <c r="BC44" s="317" t="s">
        <v>232</v>
      </c>
      <c r="BD44" s="317" t="s">
        <v>232</v>
      </c>
      <c r="BE44" s="317" t="s">
        <v>232</v>
      </c>
      <c r="BF44" s="317" t="s">
        <v>232</v>
      </c>
      <c r="BG44" s="317" t="s">
        <v>232</v>
      </c>
      <c r="BH44" s="317" t="s">
        <v>232</v>
      </c>
      <c r="BI44" s="317" t="s">
        <v>232</v>
      </c>
      <c r="BJ44" s="317" t="s">
        <v>232</v>
      </c>
      <c r="BK44" s="317" t="s">
        <v>232</v>
      </c>
      <c r="BL44" s="91">
        <v>45667</v>
      </c>
      <c r="BM44" s="91">
        <f t="shared" si="10"/>
        <v>46396</v>
      </c>
      <c r="BN44" s="91" t="s">
        <v>232</v>
      </c>
      <c r="BO44" s="91" t="s">
        <v>232</v>
      </c>
      <c r="BP44" s="91" t="s">
        <v>232</v>
      </c>
      <c r="BQ44" s="91" t="s">
        <v>232</v>
      </c>
      <c r="BR44" s="91" t="s">
        <v>232</v>
      </c>
      <c r="BS44" s="91" t="s">
        <v>232</v>
      </c>
      <c r="BT44" s="91" t="s">
        <v>232</v>
      </c>
      <c r="BU44" s="91">
        <v>45693</v>
      </c>
      <c r="BV44" s="91">
        <v>45712</v>
      </c>
      <c r="BW44" s="91">
        <v>45696</v>
      </c>
      <c r="BX44" s="91">
        <v>45696</v>
      </c>
      <c r="BY44" s="91">
        <v>45692</v>
      </c>
      <c r="BZ44" s="10">
        <v>46013</v>
      </c>
      <c r="CA44" s="91">
        <v>45698</v>
      </c>
      <c r="CB44" s="91" t="s">
        <v>232</v>
      </c>
      <c r="CC44" s="91">
        <v>45698</v>
      </c>
      <c r="CD44" s="91">
        <v>45706</v>
      </c>
      <c r="CE44" s="91" t="s">
        <v>232</v>
      </c>
      <c r="CF44" s="91">
        <v>45720</v>
      </c>
      <c r="CG44" s="91" t="s">
        <v>232</v>
      </c>
      <c r="CH44" s="91">
        <v>45731</v>
      </c>
      <c r="CI44" s="91">
        <v>45716</v>
      </c>
      <c r="CJ44" s="91">
        <v>45716</v>
      </c>
      <c r="CK44" s="91" t="s">
        <v>232</v>
      </c>
      <c r="CL44" s="11" t="s">
        <v>232</v>
      </c>
      <c r="CM44" s="91" t="s">
        <v>232</v>
      </c>
      <c r="CN44" s="91" t="s">
        <v>232</v>
      </c>
      <c r="CO44" s="91">
        <v>45700</v>
      </c>
      <c r="CP44" s="91" t="s">
        <v>232</v>
      </c>
      <c r="CQ44" s="10" t="s">
        <v>232</v>
      </c>
      <c r="CR44" s="10" t="s">
        <v>232</v>
      </c>
      <c r="CS44" s="10" t="s">
        <v>232</v>
      </c>
      <c r="CT44" s="10" t="s">
        <v>232</v>
      </c>
      <c r="CU44" s="11" t="s">
        <v>232</v>
      </c>
      <c r="CV44" s="11">
        <v>46070</v>
      </c>
      <c r="CW44" s="11" t="s">
        <v>232</v>
      </c>
      <c r="CX44" s="11" t="s">
        <v>232</v>
      </c>
      <c r="CY44" s="11"/>
      <c r="CZ44" s="10">
        <v>46017</v>
      </c>
    </row>
    <row r="45" spans="2:104" ht="104.25" customHeight="1">
      <c r="B45" s="331">
        <v>41</v>
      </c>
      <c r="C45" s="321" t="s">
        <v>367</v>
      </c>
      <c r="D45" s="376" t="s">
        <v>368</v>
      </c>
      <c r="E45" s="376" t="s">
        <v>369</v>
      </c>
      <c r="F45" s="377" t="s">
        <v>339</v>
      </c>
      <c r="G45" s="440" t="s">
        <v>370</v>
      </c>
      <c r="H45" s="319">
        <v>45734</v>
      </c>
      <c r="I45" s="91">
        <f t="shared" si="0"/>
        <v>46463</v>
      </c>
      <c r="J45" s="319">
        <v>45735</v>
      </c>
      <c r="K45" s="91">
        <f t="shared" si="1"/>
        <v>46464</v>
      </c>
      <c r="L45" s="319">
        <v>45736</v>
      </c>
      <c r="M45" s="91">
        <f t="shared" si="2"/>
        <v>46465</v>
      </c>
      <c r="N45" s="91">
        <v>45819</v>
      </c>
      <c r="O45" s="91">
        <v>46549</v>
      </c>
      <c r="P45" s="91">
        <v>45819</v>
      </c>
      <c r="Q45" s="91">
        <f t="shared" si="29"/>
        <v>46548</v>
      </c>
      <c r="R45" s="319">
        <v>45797</v>
      </c>
      <c r="S45" s="91">
        <f>IF(ISBLANK(R45),"",EDATE(R45,24))-1</f>
        <v>46526</v>
      </c>
      <c r="T45" s="91" t="s">
        <v>231</v>
      </c>
      <c r="U45" s="91" t="s">
        <v>231</v>
      </c>
      <c r="V45" s="91" t="s">
        <v>232</v>
      </c>
      <c r="W45" s="91" t="s">
        <v>232</v>
      </c>
      <c r="X45" s="91" t="s">
        <v>231</v>
      </c>
      <c r="Y45" s="91" t="s">
        <v>231</v>
      </c>
      <c r="Z45" s="317" t="s">
        <v>232</v>
      </c>
      <c r="AA45" s="317" t="s">
        <v>232</v>
      </c>
      <c r="AB45" s="317" t="s">
        <v>232</v>
      </c>
      <c r="AC45" s="317" t="s">
        <v>232</v>
      </c>
      <c r="AD45" s="317" t="s">
        <v>232</v>
      </c>
      <c r="AE45" s="317" t="s">
        <v>232</v>
      </c>
      <c r="AF45" s="319">
        <v>45733</v>
      </c>
      <c r="AG45" s="91">
        <f t="shared" si="25"/>
        <v>46462</v>
      </c>
      <c r="AH45" s="91">
        <v>45741</v>
      </c>
      <c r="AI45" s="91">
        <f t="shared" si="23"/>
        <v>46470</v>
      </c>
      <c r="AJ45" s="91">
        <v>45744</v>
      </c>
      <c r="AK45" s="91">
        <f t="shared" si="24"/>
        <v>46473</v>
      </c>
      <c r="AL45" s="91">
        <v>45748</v>
      </c>
      <c r="AM45" s="91">
        <f t="shared" si="27"/>
        <v>46112</v>
      </c>
      <c r="AN45" s="91">
        <v>45747</v>
      </c>
      <c r="AO45" s="91">
        <f t="shared" si="7"/>
        <v>46476</v>
      </c>
      <c r="AP45" s="91">
        <v>45761</v>
      </c>
      <c r="AQ45" s="91">
        <f t="shared" si="8"/>
        <v>46490</v>
      </c>
      <c r="AR45" s="91">
        <v>45784</v>
      </c>
      <c r="AS45" s="91">
        <f t="shared" si="9"/>
        <v>46513</v>
      </c>
      <c r="AT45" s="317" t="s">
        <v>232</v>
      </c>
      <c r="AU45" s="317" t="s">
        <v>232</v>
      </c>
      <c r="AV45" s="317" t="s">
        <v>232</v>
      </c>
      <c r="AW45" s="317" t="s">
        <v>232</v>
      </c>
      <c r="AX45" s="317" t="s">
        <v>232</v>
      </c>
      <c r="AY45" s="317" t="s">
        <v>232</v>
      </c>
      <c r="AZ45" s="317">
        <v>45812</v>
      </c>
      <c r="BA45" s="91">
        <f>IF(ISBLANK(AZ45),"",EDATE(AZ45,24))-1</f>
        <v>46541</v>
      </c>
      <c r="BB45" s="317" t="s">
        <v>232</v>
      </c>
      <c r="BC45" s="317" t="s">
        <v>232</v>
      </c>
      <c r="BD45" s="317" t="s">
        <v>232</v>
      </c>
      <c r="BE45" s="317" t="s">
        <v>232</v>
      </c>
      <c r="BF45" s="317" t="s">
        <v>232</v>
      </c>
      <c r="BG45" s="317" t="s">
        <v>232</v>
      </c>
      <c r="BH45" s="317" t="s">
        <v>232</v>
      </c>
      <c r="BI45" s="317" t="s">
        <v>232</v>
      </c>
      <c r="BJ45" s="317" t="s">
        <v>232</v>
      </c>
      <c r="BK45" s="317" t="s">
        <v>232</v>
      </c>
      <c r="BL45" s="91">
        <v>45737</v>
      </c>
      <c r="BM45" s="91">
        <f t="shared" si="10"/>
        <v>46466</v>
      </c>
      <c r="BN45" s="91" t="s">
        <v>232</v>
      </c>
      <c r="BO45" s="91" t="s">
        <v>232</v>
      </c>
      <c r="BP45" s="91" t="s">
        <v>232</v>
      </c>
      <c r="BQ45" s="91" t="s">
        <v>232</v>
      </c>
      <c r="BR45" s="91" t="s">
        <v>232</v>
      </c>
      <c r="BS45" s="91" t="s">
        <v>232</v>
      </c>
      <c r="BT45" s="91" t="s">
        <v>232</v>
      </c>
      <c r="BU45" s="91">
        <v>45751</v>
      </c>
      <c r="BV45" s="91">
        <v>45758</v>
      </c>
      <c r="BW45" s="91">
        <v>45754</v>
      </c>
      <c r="BX45" s="91">
        <v>45754</v>
      </c>
      <c r="BY45" s="91">
        <v>45750</v>
      </c>
      <c r="BZ45" s="91" t="s">
        <v>232</v>
      </c>
      <c r="CA45" s="91">
        <v>45749</v>
      </c>
      <c r="CB45" s="91" t="s">
        <v>232</v>
      </c>
      <c r="CC45" s="91">
        <v>45749</v>
      </c>
      <c r="CD45" s="91">
        <v>45756</v>
      </c>
      <c r="CE45" s="91" t="s">
        <v>232</v>
      </c>
      <c r="CF45" s="91" t="s">
        <v>232</v>
      </c>
      <c r="CG45" s="91">
        <v>45814</v>
      </c>
      <c r="CH45" s="91">
        <v>45731</v>
      </c>
      <c r="CI45" s="91" t="s">
        <v>232</v>
      </c>
      <c r="CJ45" s="91" t="s">
        <v>232</v>
      </c>
      <c r="CK45" s="91" t="s">
        <v>232</v>
      </c>
      <c r="CL45" s="427" t="s">
        <v>232</v>
      </c>
      <c r="CM45" s="91" t="s">
        <v>232</v>
      </c>
      <c r="CN45" s="91" t="s">
        <v>232</v>
      </c>
      <c r="CO45" s="91">
        <v>45745</v>
      </c>
      <c r="CP45" s="91" t="s">
        <v>232</v>
      </c>
      <c r="CQ45" s="10">
        <v>45742</v>
      </c>
      <c r="CR45" s="10" t="s">
        <v>232</v>
      </c>
      <c r="CS45" s="10" t="s">
        <v>232</v>
      </c>
      <c r="CT45" s="10" t="s">
        <v>232</v>
      </c>
      <c r="CU45" s="11" t="s">
        <v>232</v>
      </c>
      <c r="CV45" s="11"/>
      <c r="CW45" s="11" t="s">
        <v>232</v>
      </c>
      <c r="CX45" s="11" t="s">
        <v>232</v>
      </c>
      <c r="CY45" s="10">
        <v>45953</v>
      </c>
      <c r="CZ45" s="11"/>
    </row>
    <row r="46" spans="2:104" ht="162.75" customHeight="1">
      <c r="B46" s="331">
        <v>42</v>
      </c>
      <c r="C46" s="321" t="s">
        <v>106</v>
      </c>
      <c r="D46" s="376" t="s">
        <v>107</v>
      </c>
      <c r="E46" s="376" t="s">
        <v>371</v>
      </c>
      <c r="F46" s="324" t="s">
        <v>372</v>
      </c>
      <c r="G46" s="442" t="s">
        <v>373</v>
      </c>
      <c r="H46" s="319">
        <v>45734</v>
      </c>
      <c r="I46" s="91">
        <f t="shared" si="0"/>
        <v>46463</v>
      </c>
      <c r="J46" s="319">
        <v>45735</v>
      </c>
      <c r="K46" s="91">
        <f t="shared" si="1"/>
        <v>46464</v>
      </c>
      <c r="L46" s="319">
        <v>45736</v>
      </c>
      <c r="M46" s="91">
        <f t="shared" si="2"/>
        <v>46465</v>
      </c>
      <c r="N46" s="91" t="s">
        <v>231</v>
      </c>
      <c r="O46" s="91" t="s">
        <v>231</v>
      </c>
      <c r="P46" s="91" t="s">
        <v>231</v>
      </c>
      <c r="Q46" s="91" t="s">
        <v>231</v>
      </c>
      <c r="R46" s="91" t="s">
        <v>231</v>
      </c>
      <c r="S46" s="91" t="s">
        <v>231</v>
      </c>
      <c r="T46" s="317">
        <v>45825</v>
      </c>
      <c r="U46" s="91">
        <f>IF(ISBLANK(T46),"",EDATE(T46,24))-1</f>
        <v>46554</v>
      </c>
      <c r="V46" s="91" t="s">
        <v>232</v>
      </c>
      <c r="W46" s="91" t="s">
        <v>232</v>
      </c>
      <c r="X46" s="317">
        <v>45834</v>
      </c>
      <c r="Y46" s="91">
        <f t="shared" ref="Y46:Y57" si="31">IF(ISBLANK(X46),"",EDATE(X46,24))-1</f>
        <v>46563</v>
      </c>
      <c r="Z46" s="317" t="s">
        <v>232</v>
      </c>
      <c r="AA46" s="317" t="s">
        <v>232</v>
      </c>
      <c r="AB46" s="319">
        <v>45819</v>
      </c>
      <c r="AC46" s="91">
        <f>IF(ISBLANK(AB46),"",EDATE(AB46,24))-1</f>
        <v>46548</v>
      </c>
      <c r="AD46" s="91" t="s">
        <v>231</v>
      </c>
      <c r="AE46" s="91" t="s">
        <v>231</v>
      </c>
      <c r="AF46" s="319">
        <v>45738</v>
      </c>
      <c r="AG46" s="91">
        <f t="shared" si="25"/>
        <v>46467</v>
      </c>
      <c r="AH46" s="91">
        <v>45741</v>
      </c>
      <c r="AI46" s="91">
        <f t="shared" si="23"/>
        <v>46470</v>
      </c>
      <c r="AJ46" s="91">
        <v>45744</v>
      </c>
      <c r="AK46" s="91">
        <f t="shared" si="24"/>
        <v>46473</v>
      </c>
      <c r="AL46" s="91">
        <v>45748</v>
      </c>
      <c r="AM46" s="380">
        <f t="shared" si="27"/>
        <v>46112</v>
      </c>
      <c r="AN46" s="91">
        <v>45747</v>
      </c>
      <c r="AO46" s="91">
        <f t="shared" si="7"/>
        <v>46476</v>
      </c>
      <c r="AP46" s="91">
        <v>45721</v>
      </c>
      <c r="AQ46" s="91">
        <f t="shared" si="8"/>
        <v>46450</v>
      </c>
      <c r="AR46" s="91">
        <v>45784</v>
      </c>
      <c r="AS46" s="91">
        <f t="shared" si="9"/>
        <v>46513</v>
      </c>
      <c r="AT46" s="91">
        <v>45782</v>
      </c>
      <c r="AU46" s="90">
        <f>IF(ISBLANK(AT46),"",EDATE(AT46,24))-1</f>
        <v>46511</v>
      </c>
      <c r="AV46" s="91">
        <v>45782</v>
      </c>
      <c r="AW46" s="90">
        <f>IF(ISBLANK(AV46),"",EDATE(AV46,24))-1</f>
        <v>46511</v>
      </c>
      <c r="AX46" s="91">
        <v>45765</v>
      </c>
      <c r="AY46" s="90">
        <f>IF(ISBLANK(AX46),"",EDATE(AX46,24))-1</f>
        <v>46494</v>
      </c>
      <c r="AZ46" s="319" t="s">
        <v>232</v>
      </c>
      <c r="BA46" s="317" t="s">
        <v>232</v>
      </c>
      <c r="BB46" s="317" t="s">
        <v>232</v>
      </c>
      <c r="BC46" s="317" t="s">
        <v>232</v>
      </c>
      <c r="BD46" s="317" t="s">
        <v>232</v>
      </c>
      <c r="BE46" s="317" t="s">
        <v>232</v>
      </c>
      <c r="BF46" s="317" t="s">
        <v>232</v>
      </c>
      <c r="BG46" s="317" t="s">
        <v>232</v>
      </c>
      <c r="BH46" s="91">
        <v>45786</v>
      </c>
      <c r="BI46" s="90">
        <f>IF(ISBLANK(BH46),"",EDATE(BH46,24))-1</f>
        <v>46515</v>
      </c>
      <c r="BJ46" s="317" t="s">
        <v>232</v>
      </c>
      <c r="BK46" s="317" t="s">
        <v>232</v>
      </c>
      <c r="BL46" s="91">
        <v>45737</v>
      </c>
      <c r="BM46" s="91">
        <f t="shared" si="10"/>
        <v>46466</v>
      </c>
      <c r="BN46" s="91" t="s">
        <v>232</v>
      </c>
      <c r="BO46" s="91" t="s">
        <v>232</v>
      </c>
      <c r="BP46" s="91" t="s">
        <v>232</v>
      </c>
      <c r="BQ46" s="91" t="s">
        <v>232</v>
      </c>
      <c r="BR46" s="91" t="s">
        <v>232</v>
      </c>
      <c r="BS46" s="91" t="s">
        <v>232</v>
      </c>
      <c r="BT46" s="91" t="s">
        <v>232</v>
      </c>
      <c r="BU46" s="91">
        <v>45751</v>
      </c>
      <c r="BV46" s="91">
        <v>45758</v>
      </c>
      <c r="BW46" s="91">
        <v>45754</v>
      </c>
      <c r="BX46" s="91">
        <v>45754</v>
      </c>
      <c r="BY46" s="91">
        <v>45750</v>
      </c>
      <c r="BZ46" s="10">
        <v>46013</v>
      </c>
      <c r="CA46" s="91">
        <v>45749</v>
      </c>
      <c r="CB46" s="91" t="s">
        <v>232</v>
      </c>
      <c r="CC46" s="91">
        <v>45749</v>
      </c>
      <c r="CD46" s="91">
        <v>45756</v>
      </c>
      <c r="CE46" s="91" t="s">
        <v>232</v>
      </c>
      <c r="CF46" s="91" t="s">
        <v>232</v>
      </c>
      <c r="CG46" s="91">
        <v>45814</v>
      </c>
      <c r="CH46" s="91">
        <v>45731</v>
      </c>
      <c r="CI46" s="91">
        <v>46049</v>
      </c>
      <c r="CJ46" s="91" t="s">
        <v>232</v>
      </c>
      <c r="CK46" s="91">
        <v>45810</v>
      </c>
      <c r="CL46" s="428">
        <v>45981</v>
      </c>
      <c r="CM46" s="91" t="s">
        <v>232</v>
      </c>
      <c r="CN46" s="91" t="s">
        <v>232</v>
      </c>
      <c r="CO46" s="319">
        <v>45733</v>
      </c>
      <c r="CP46" s="319"/>
      <c r="CQ46" s="10">
        <v>45742</v>
      </c>
      <c r="CR46" s="10" t="s">
        <v>232</v>
      </c>
      <c r="CS46" s="10" t="s">
        <v>232</v>
      </c>
      <c r="CT46" s="10" t="s">
        <v>232</v>
      </c>
      <c r="CU46" s="11" t="s">
        <v>232</v>
      </c>
      <c r="CV46" s="11"/>
      <c r="CW46" s="11">
        <v>45807</v>
      </c>
      <c r="CX46" s="11" t="s">
        <v>232</v>
      </c>
      <c r="CY46" s="11"/>
      <c r="CZ46" s="10"/>
    </row>
    <row r="47" spans="2:104" ht="50.25" customHeight="1">
      <c r="B47" s="331">
        <v>43</v>
      </c>
      <c r="C47" s="321" t="s">
        <v>108</v>
      </c>
      <c r="D47" s="376" t="s">
        <v>109</v>
      </c>
      <c r="E47" s="376" t="s">
        <v>374</v>
      </c>
      <c r="F47" s="324" t="s">
        <v>357</v>
      </c>
      <c r="G47" s="442" t="s">
        <v>375</v>
      </c>
      <c r="H47" s="319">
        <v>45734</v>
      </c>
      <c r="I47" s="91">
        <f t="shared" si="0"/>
        <v>46463</v>
      </c>
      <c r="J47" s="319">
        <v>45735</v>
      </c>
      <c r="K47" s="91">
        <f t="shared" si="1"/>
        <v>46464</v>
      </c>
      <c r="L47" s="319">
        <v>45736</v>
      </c>
      <c r="M47" s="91">
        <f t="shared" si="2"/>
        <v>46465</v>
      </c>
      <c r="N47" s="91">
        <v>45835</v>
      </c>
      <c r="O47" s="91">
        <v>46565</v>
      </c>
      <c r="P47" s="91">
        <v>45835</v>
      </c>
      <c r="Q47" s="91">
        <f t="shared" ref="Q47:Q64" si="32">IF(ISBLANK(P47),"",EDATE(P47,24))-1</f>
        <v>46564</v>
      </c>
      <c r="R47" s="319">
        <v>45797</v>
      </c>
      <c r="S47" s="91">
        <f>IF(ISBLANK(R47),"",EDATE(R47,24))-1</f>
        <v>46526</v>
      </c>
      <c r="T47" s="317">
        <v>45825</v>
      </c>
      <c r="U47" s="91">
        <f>IF(ISBLANK(T47),"",EDATE(T47,24))-1</f>
        <v>46554</v>
      </c>
      <c r="V47" s="91" t="s">
        <v>232</v>
      </c>
      <c r="W47" s="91" t="s">
        <v>232</v>
      </c>
      <c r="X47" s="91">
        <v>45834</v>
      </c>
      <c r="Y47" s="91">
        <f t="shared" si="31"/>
        <v>46563</v>
      </c>
      <c r="Z47" s="317" t="s">
        <v>232</v>
      </c>
      <c r="AA47" s="317" t="s">
        <v>232</v>
      </c>
      <c r="AB47" s="319" t="s">
        <v>376</v>
      </c>
      <c r="AC47" s="91" t="s">
        <v>231</v>
      </c>
      <c r="AD47" s="317" t="s">
        <v>232</v>
      </c>
      <c r="AE47" s="317" t="s">
        <v>232</v>
      </c>
      <c r="AF47" s="319">
        <v>45733</v>
      </c>
      <c r="AG47" s="91">
        <f t="shared" si="25"/>
        <v>46462</v>
      </c>
      <c r="AH47" s="91">
        <v>45741</v>
      </c>
      <c r="AI47" s="91">
        <f t="shared" si="23"/>
        <v>46470</v>
      </c>
      <c r="AJ47" s="91">
        <v>45744</v>
      </c>
      <c r="AK47" s="91">
        <f t="shared" si="24"/>
        <v>46473</v>
      </c>
      <c r="AL47" s="91">
        <v>45748</v>
      </c>
      <c r="AM47" s="380">
        <f t="shared" si="27"/>
        <v>46112</v>
      </c>
      <c r="AN47" s="91">
        <v>45747</v>
      </c>
      <c r="AO47" s="91">
        <f t="shared" si="7"/>
        <v>46476</v>
      </c>
      <c r="AP47" s="91">
        <v>45721</v>
      </c>
      <c r="AQ47" s="91">
        <f t="shared" si="8"/>
        <v>46450</v>
      </c>
      <c r="AR47" s="91">
        <v>45784</v>
      </c>
      <c r="AS47" s="91">
        <f t="shared" si="9"/>
        <v>46513</v>
      </c>
      <c r="AT47" s="91">
        <v>45782</v>
      </c>
      <c r="AU47" s="317">
        <v>46512</v>
      </c>
      <c r="AV47" s="91" t="s">
        <v>232</v>
      </c>
      <c r="AW47" s="317" t="s">
        <v>232</v>
      </c>
      <c r="AX47" s="317" t="s">
        <v>232</v>
      </c>
      <c r="AY47" s="317" t="s">
        <v>232</v>
      </c>
      <c r="AZ47" s="317" t="s">
        <v>232</v>
      </c>
      <c r="BA47" s="317" t="s">
        <v>232</v>
      </c>
      <c r="BB47" s="317" t="s">
        <v>232</v>
      </c>
      <c r="BC47" s="317" t="s">
        <v>232</v>
      </c>
      <c r="BD47" s="317" t="s">
        <v>232</v>
      </c>
      <c r="BE47" s="317" t="s">
        <v>232</v>
      </c>
      <c r="BF47" s="317" t="s">
        <v>232</v>
      </c>
      <c r="BG47" s="317" t="s">
        <v>232</v>
      </c>
      <c r="BH47" s="317" t="s">
        <v>232</v>
      </c>
      <c r="BI47" s="317" t="s">
        <v>232</v>
      </c>
      <c r="BJ47" s="91">
        <v>45792</v>
      </c>
      <c r="BK47" s="91">
        <f>IF(ISBLANK(BJ47),"",EDATE(BJ47,24))</f>
        <v>46522</v>
      </c>
      <c r="BL47" s="91">
        <v>45737</v>
      </c>
      <c r="BM47" s="91">
        <f t="shared" si="10"/>
        <v>46466</v>
      </c>
      <c r="BN47" s="91" t="s">
        <v>232</v>
      </c>
      <c r="BO47" s="91" t="s">
        <v>232</v>
      </c>
      <c r="BP47" s="91" t="s">
        <v>232</v>
      </c>
      <c r="BQ47" s="91" t="s">
        <v>232</v>
      </c>
      <c r="BR47" s="91" t="s">
        <v>232</v>
      </c>
      <c r="BS47" s="91" t="s">
        <v>232</v>
      </c>
      <c r="BT47" s="91" t="s">
        <v>232</v>
      </c>
      <c r="BU47" s="91">
        <v>45751</v>
      </c>
      <c r="BV47" s="91">
        <v>45758</v>
      </c>
      <c r="BW47" s="91">
        <v>45754</v>
      </c>
      <c r="BX47" s="91">
        <v>45754</v>
      </c>
      <c r="BY47" s="91">
        <v>45750</v>
      </c>
      <c r="BZ47" s="10">
        <v>46013</v>
      </c>
      <c r="CA47" s="91">
        <v>45749</v>
      </c>
      <c r="CB47" s="91" t="s">
        <v>232</v>
      </c>
      <c r="CC47" s="91">
        <v>45749</v>
      </c>
      <c r="CD47" s="91">
        <v>45756</v>
      </c>
      <c r="CE47" s="91" t="s">
        <v>232</v>
      </c>
      <c r="CF47" s="91" t="s">
        <v>232</v>
      </c>
      <c r="CG47" s="91" t="s">
        <v>232</v>
      </c>
      <c r="CH47" s="91" t="s">
        <v>232</v>
      </c>
      <c r="CI47" s="91" t="s">
        <v>232</v>
      </c>
      <c r="CJ47" s="91" t="s">
        <v>232</v>
      </c>
      <c r="CK47" s="91" t="s">
        <v>232</v>
      </c>
      <c r="CL47" s="11" t="s">
        <v>232</v>
      </c>
      <c r="CM47" s="91" t="s">
        <v>232</v>
      </c>
      <c r="CN47" s="91" t="s">
        <v>232</v>
      </c>
      <c r="CO47" s="91">
        <v>45891</v>
      </c>
      <c r="CP47" s="91" t="s">
        <v>232</v>
      </c>
      <c r="CQ47" s="10">
        <v>45742</v>
      </c>
      <c r="CR47" s="10" t="s">
        <v>232</v>
      </c>
      <c r="CS47" s="10" t="s">
        <v>232</v>
      </c>
      <c r="CT47" s="10" t="s">
        <v>232</v>
      </c>
      <c r="CU47" s="11" t="s">
        <v>232</v>
      </c>
      <c r="CV47" s="11"/>
      <c r="CW47" s="11">
        <v>45807</v>
      </c>
      <c r="CX47" s="11" t="s">
        <v>232</v>
      </c>
      <c r="CY47" s="11"/>
      <c r="CZ47" s="11"/>
    </row>
    <row r="48" spans="2:104" ht="50.25" customHeight="1">
      <c r="B48" s="331">
        <v>44</v>
      </c>
      <c r="C48" s="321" t="s">
        <v>377</v>
      </c>
      <c r="D48" s="376" t="s">
        <v>378</v>
      </c>
      <c r="E48" s="376" t="s">
        <v>379</v>
      </c>
      <c r="F48" s="324" t="s">
        <v>357</v>
      </c>
      <c r="G48" s="443" t="s">
        <v>380</v>
      </c>
      <c r="H48" s="319">
        <v>45734</v>
      </c>
      <c r="I48" s="91">
        <f t="shared" si="0"/>
        <v>46463</v>
      </c>
      <c r="J48" s="319">
        <v>45735</v>
      </c>
      <c r="K48" s="91">
        <f t="shared" si="1"/>
        <v>46464</v>
      </c>
      <c r="L48" s="319">
        <v>45736</v>
      </c>
      <c r="M48" s="91">
        <f t="shared" si="2"/>
        <v>46465</v>
      </c>
      <c r="N48" s="91">
        <v>45819</v>
      </c>
      <c r="O48" s="91">
        <v>46549</v>
      </c>
      <c r="P48" s="91">
        <v>45819</v>
      </c>
      <c r="Q48" s="91">
        <f t="shared" si="32"/>
        <v>46548</v>
      </c>
      <c r="R48" s="91" t="s">
        <v>231</v>
      </c>
      <c r="S48" s="91" t="s">
        <v>231</v>
      </c>
      <c r="T48" s="317">
        <v>45825</v>
      </c>
      <c r="U48" s="91">
        <f>IF(ISBLANK(T48),"",EDATE(T48,24))-1</f>
        <v>46554</v>
      </c>
      <c r="V48" s="91" t="s">
        <v>232</v>
      </c>
      <c r="W48" s="91" t="s">
        <v>232</v>
      </c>
      <c r="X48" s="317">
        <v>45834</v>
      </c>
      <c r="Y48" s="91">
        <f t="shared" si="31"/>
        <v>46563</v>
      </c>
      <c r="Z48" s="317" t="s">
        <v>232</v>
      </c>
      <c r="AA48" s="317" t="s">
        <v>232</v>
      </c>
      <c r="AB48" s="383" t="s">
        <v>232</v>
      </c>
      <c r="AC48" s="317" t="s">
        <v>232</v>
      </c>
      <c r="AD48" s="317" t="s">
        <v>232</v>
      </c>
      <c r="AE48" s="317" t="s">
        <v>232</v>
      </c>
      <c r="AF48" s="319">
        <v>45733</v>
      </c>
      <c r="AG48" s="91">
        <f t="shared" si="25"/>
        <v>46462</v>
      </c>
      <c r="AH48" s="91">
        <v>45741</v>
      </c>
      <c r="AI48" s="91">
        <f t="shared" si="23"/>
        <v>46470</v>
      </c>
      <c r="AJ48" s="91">
        <v>45744</v>
      </c>
      <c r="AK48" s="91">
        <f t="shared" si="24"/>
        <v>46473</v>
      </c>
      <c r="AL48" s="91">
        <v>45748</v>
      </c>
      <c r="AM48" s="380">
        <f t="shared" si="27"/>
        <v>46112</v>
      </c>
      <c r="AN48" s="91">
        <v>45747</v>
      </c>
      <c r="AO48" s="91">
        <f t="shared" si="7"/>
        <v>46476</v>
      </c>
      <c r="AP48" s="91">
        <v>45790</v>
      </c>
      <c r="AQ48" s="91">
        <f t="shared" si="8"/>
        <v>46519</v>
      </c>
      <c r="AR48" s="91">
        <v>45784</v>
      </c>
      <c r="AS48" s="91">
        <f t="shared" si="9"/>
        <v>46513</v>
      </c>
      <c r="AT48" s="317" t="s">
        <v>232</v>
      </c>
      <c r="AU48" s="317" t="s">
        <v>232</v>
      </c>
      <c r="AV48" s="317" t="s">
        <v>232</v>
      </c>
      <c r="AW48" s="317" t="s">
        <v>232</v>
      </c>
      <c r="AX48" s="91">
        <v>45781</v>
      </c>
      <c r="AY48" s="91">
        <f>IF(ISBLANK(AX48),"",EDATE(AX48,24))-1</f>
        <v>46510</v>
      </c>
      <c r="AZ48" s="317" t="s">
        <v>232</v>
      </c>
      <c r="BA48" s="317" t="s">
        <v>232</v>
      </c>
      <c r="BB48" s="317" t="s">
        <v>232</v>
      </c>
      <c r="BC48" s="317" t="s">
        <v>232</v>
      </c>
      <c r="BD48" s="317" t="s">
        <v>232</v>
      </c>
      <c r="BE48" s="317" t="s">
        <v>232</v>
      </c>
      <c r="BF48" s="317" t="s">
        <v>232</v>
      </c>
      <c r="BG48" s="317" t="s">
        <v>232</v>
      </c>
      <c r="BH48" s="317" t="s">
        <v>232</v>
      </c>
      <c r="BI48" s="317" t="s">
        <v>232</v>
      </c>
      <c r="BJ48" s="317" t="s">
        <v>232</v>
      </c>
      <c r="BK48" s="317" t="s">
        <v>232</v>
      </c>
      <c r="BL48" s="91">
        <v>45737</v>
      </c>
      <c r="BM48" s="91">
        <f t="shared" si="10"/>
        <v>46466</v>
      </c>
      <c r="BN48" s="91" t="s">
        <v>232</v>
      </c>
      <c r="BO48" s="91" t="s">
        <v>232</v>
      </c>
      <c r="BP48" s="91"/>
      <c r="BQ48" s="91" t="s">
        <v>232</v>
      </c>
      <c r="BR48" s="91" t="s">
        <v>232</v>
      </c>
      <c r="BS48" s="91" t="s">
        <v>232</v>
      </c>
      <c r="BT48" s="91" t="s">
        <v>232</v>
      </c>
      <c r="BU48" s="91">
        <v>45751</v>
      </c>
      <c r="BV48" s="91">
        <v>45758</v>
      </c>
      <c r="BW48" s="91">
        <v>45754</v>
      </c>
      <c r="BX48" s="91">
        <v>45754</v>
      </c>
      <c r="BY48" s="91">
        <v>45750</v>
      </c>
      <c r="BZ48" s="91" t="s">
        <v>232</v>
      </c>
      <c r="CA48" s="91">
        <v>45749</v>
      </c>
      <c r="CB48" s="91" t="s">
        <v>232</v>
      </c>
      <c r="CC48" s="91">
        <v>45749</v>
      </c>
      <c r="CD48" s="91">
        <v>45756</v>
      </c>
      <c r="CE48" s="91" t="s">
        <v>232</v>
      </c>
      <c r="CF48" s="91" t="s">
        <v>232</v>
      </c>
      <c r="CG48" s="91" t="s">
        <v>232</v>
      </c>
      <c r="CH48" s="91" t="s">
        <v>232</v>
      </c>
      <c r="CI48" s="91">
        <v>46049</v>
      </c>
      <c r="CJ48" s="91" t="s">
        <v>232</v>
      </c>
      <c r="CK48" s="91" t="s">
        <v>232</v>
      </c>
      <c r="CL48" s="427" t="s">
        <v>232</v>
      </c>
      <c r="CM48" s="91" t="s">
        <v>232</v>
      </c>
      <c r="CN48" s="91" t="s">
        <v>232</v>
      </c>
      <c r="CO48" s="91">
        <v>45891</v>
      </c>
      <c r="CP48" s="91" t="s">
        <v>232</v>
      </c>
      <c r="CQ48" s="10">
        <v>45742</v>
      </c>
      <c r="CR48" s="10">
        <v>45742</v>
      </c>
      <c r="CS48" s="10" t="s">
        <v>232</v>
      </c>
      <c r="CT48" s="10" t="s">
        <v>232</v>
      </c>
      <c r="CU48" s="11" t="s">
        <v>232</v>
      </c>
      <c r="CV48" s="11">
        <v>46070</v>
      </c>
      <c r="CW48" s="11">
        <v>45807</v>
      </c>
      <c r="CX48" s="10">
        <v>45907</v>
      </c>
      <c r="CY48" s="10"/>
      <c r="CZ48" s="10">
        <v>46017</v>
      </c>
    </row>
    <row r="49" spans="2:104" ht="50.25" customHeight="1">
      <c r="B49" s="331">
        <v>45</v>
      </c>
      <c r="C49" s="321" t="s">
        <v>381</v>
      </c>
      <c r="D49" s="376" t="s">
        <v>382</v>
      </c>
      <c r="E49" s="376" t="s">
        <v>383</v>
      </c>
      <c r="F49" s="324" t="s">
        <v>384</v>
      </c>
      <c r="G49" s="441" t="s">
        <v>232</v>
      </c>
      <c r="H49" s="319">
        <v>45792</v>
      </c>
      <c r="I49" s="91">
        <f t="shared" si="0"/>
        <v>46521</v>
      </c>
      <c r="J49" s="319">
        <v>45826</v>
      </c>
      <c r="K49" s="91">
        <f t="shared" si="1"/>
        <v>46555</v>
      </c>
      <c r="L49" s="91">
        <v>45827</v>
      </c>
      <c r="M49" s="91">
        <f t="shared" si="2"/>
        <v>46556</v>
      </c>
      <c r="N49" s="91">
        <v>45819</v>
      </c>
      <c r="O49" s="91">
        <v>46549</v>
      </c>
      <c r="P49" s="91">
        <v>45819</v>
      </c>
      <c r="Q49" s="91">
        <f t="shared" si="32"/>
        <v>46548</v>
      </c>
      <c r="R49" s="319">
        <v>45797</v>
      </c>
      <c r="S49" s="91">
        <f>IF(ISBLANK(R49),"",EDATE(R49,24))-1</f>
        <v>46526</v>
      </c>
      <c r="T49" s="317">
        <v>45825</v>
      </c>
      <c r="U49" s="91">
        <f>IF(ISBLANK(T49),"",EDATE(T49,24))-1</f>
        <v>46554</v>
      </c>
      <c r="V49" s="91">
        <v>45804</v>
      </c>
      <c r="W49" s="91">
        <f>IF(ISBLANK(V49),"",EDATE(V49,24))-1</f>
        <v>46533</v>
      </c>
      <c r="X49" s="317">
        <v>45834</v>
      </c>
      <c r="Y49" s="91">
        <f t="shared" si="31"/>
        <v>46563</v>
      </c>
      <c r="Z49" s="317" t="s">
        <v>232</v>
      </c>
      <c r="AA49" s="317" t="s">
        <v>232</v>
      </c>
      <c r="AB49" s="319">
        <v>45819</v>
      </c>
      <c r="AC49" s="91">
        <f>IF(ISBLANK(AB49),"",EDATE(AB49,24))-1</f>
        <v>46548</v>
      </c>
      <c r="AD49" s="317" t="s">
        <v>232</v>
      </c>
      <c r="AE49" s="317" t="s">
        <v>232</v>
      </c>
      <c r="AF49" s="319">
        <v>45784</v>
      </c>
      <c r="AG49" s="91">
        <f t="shared" si="25"/>
        <v>46513</v>
      </c>
      <c r="AH49" s="319">
        <v>45820</v>
      </c>
      <c r="AI49" s="91">
        <f t="shared" si="23"/>
        <v>46549</v>
      </c>
      <c r="AJ49" s="91">
        <v>45791</v>
      </c>
      <c r="AK49" s="91">
        <f t="shared" si="24"/>
        <v>46520</v>
      </c>
      <c r="AL49" s="91">
        <v>45785</v>
      </c>
      <c r="AM49" s="380">
        <f t="shared" si="27"/>
        <v>46149</v>
      </c>
      <c r="AN49" s="91">
        <v>45786</v>
      </c>
      <c r="AO49" s="91">
        <f t="shared" si="7"/>
        <v>46515</v>
      </c>
      <c r="AP49" s="91">
        <v>45790</v>
      </c>
      <c r="AQ49" s="91">
        <f t="shared" si="8"/>
        <v>46519</v>
      </c>
      <c r="AR49" s="91">
        <v>45783</v>
      </c>
      <c r="AS49" s="91">
        <f t="shared" si="9"/>
        <v>46512</v>
      </c>
      <c r="AT49" s="91" t="s">
        <v>232</v>
      </c>
      <c r="AU49" s="91" t="s">
        <v>232</v>
      </c>
      <c r="AV49" s="91" t="s">
        <v>232</v>
      </c>
      <c r="AW49" s="91" t="s">
        <v>232</v>
      </c>
      <c r="AX49" s="317" t="s">
        <v>232</v>
      </c>
      <c r="AY49" s="317" t="s">
        <v>232</v>
      </c>
      <c r="AZ49" s="317" t="s">
        <v>232</v>
      </c>
      <c r="BA49" s="317" t="s">
        <v>232</v>
      </c>
      <c r="BB49" s="91" t="s">
        <v>232</v>
      </c>
      <c r="BC49" s="91" t="s">
        <v>232</v>
      </c>
      <c r="BD49" s="91" t="s">
        <v>232</v>
      </c>
      <c r="BE49" s="91" t="s">
        <v>232</v>
      </c>
      <c r="BF49" s="91" t="s">
        <v>232</v>
      </c>
      <c r="BG49" s="91" t="s">
        <v>232</v>
      </c>
      <c r="BH49" s="317" t="s">
        <v>232</v>
      </c>
      <c r="BI49" s="317" t="s">
        <v>232</v>
      </c>
      <c r="BJ49" s="317" t="s">
        <v>232</v>
      </c>
      <c r="BK49" s="317" t="s">
        <v>232</v>
      </c>
      <c r="BL49" s="91">
        <v>45793</v>
      </c>
      <c r="BM49" s="91">
        <f t="shared" si="10"/>
        <v>46522</v>
      </c>
      <c r="BN49" s="91" t="s">
        <v>232</v>
      </c>
      <c r="BO49" s="91" t="s">
        <v>232</v>
      </c>
      <c r="BP49" s="91" t="s">
        <v>232</v>
      </c>
      <c r="BQ49" s="91" t="s">
        <v>232</v>
      </c>
      <c r="BR49" s="91" t="s">
        <v>232</v>
      </c>
      <c r="BS49" s="91" t="s">
        <v>232</v>
      </c>
      <c r="BT49" s="91" t="s">
        <v>232</v>
      </c>
      <c r="BU49" s="91" t="s">
        <v>232</v>
      </c>
      <c r="BV49" s="91" t="s">
        <v>232</v>
      </c>
      <c r="BW49" s="91" t="s">
        <v>232</v>
      </c>
      <c r="BX49" s="91" t="s">
        <v>232</v>
      </c>
      <c r="BY49" s="91" t="s">
        <v>232</v>
      </c>
      <c r="BZ49" s="91" t="s">
        <v>232</v>
      </c>
      <c r="CA49" s="91" t="s">
        <v>232</v>
      </c>
      <c r="CB49" s="91" t="s">
        <v>232</v>
      </c>
      <c r="CC49" s="91" t="s">
        <v>232</v>
      </c>
      <c r="CD49" s="91" t="s">
        <v>232</v>
      </c>
      <c r="CE49" s="91" t="s">
        <v>232</v>
      </c>
      <c r="CF49" s="91" t="s">
        <v>232</v>
      </c>
      <c r="CG49" s="91" t="s">
        <v>232</v>
      </c>
      <c r="CH49" s="91" t="s">
        <v>232</v>
      </c>
      <c r="CI49" s="91" t="s">
        <v>232</v>
      </c>
      <c r="CJ49" s="91" t="s">
        <v>232</v>
      </c>
      <c r="CK49" s="91" t="s">
        <v>232</v>
      </c>
      <c r="CL49" s="11" t="s">
        <v>232</v>
      </c>
      <c r="CM49" s="91" t="s">
        <v>232</v>
      </c>
      <c r="CN49" s="91" t="s">
        <v>232</v>
      </c>
      <c r="CO49" s="91">
        <v>45891</v>
      </c>
      <c r="CP49" s="91" t="s">
        <v>232</v>
      </c>
      <c r="CQ49" s="10" t="s">
        <v>232</v>
      </c>
      <c r="CR49" s="10" t="s">
        <v>232</v>
      </c>
      <c r="CS49" s="10" t="s">
        <v>232</v>
      </c>
      <c r="CT49" s="10" t="s">
        <v>232</v>
      </c>
      <c r="CU49" s="11" t="s">
        <v>232</v>
      </c>
      <c r="CV49" s="11"/>
      <c r="CW49" s="11">
        <v>45807</v>
      </c>
      <c r="CX49" s="11" t="s">
        <v>232</v>
      </c>
      <c r="CY49" s="11"/>
      <c r="CZ49" s="11"/>
    </row>
    <row r="50" spans="2:104" ht="104.25" customHeight="1">
      <c r="B50" s="331">
        <v>46</v>
      </c>
      <c r="C50" s="321" t="s">
        <v>385</v>
      </c>
      <c r="D50" s="376" t="s">
        <v>386</v>
      </c>
      <c r="E50" s="376" t="s">
        <v>387</v>
      </c>
      <c r="F50" s="324" t="s">
        <v>388</v>
      </c>
      <c r="G50" s="442" t="s">
        <v>389</v>
      </c>
      <c r="H50" s="319">
        <v>45792</v>
      </c>
      <c r="I50" s="91">
        <f t="shared" si="0"/>
        <v>46521</v>
      </c>
      <c r="J50" s="319">
        <v>45735</v>
      </c>
      <c r="K50" s="91">
        <f t="shared" si="1"/>
        <v>46464</v>
      </c>
      <c r="L50" s="319">
        <v>45736</v>
      </c>
      <c r="M50" s="91">
        <f t="shared" si="2"/>
        <v>46465</v>
      </c>
      <c r="N50" s="91">
        <v>45819</v>
      </c>
      <c r="O50" s="91">
        <v>46549</v>
      </c>
      <c r="P50" s="91">
        <v>45819</v>
      </c>
      <c r="Q50" s="91">
        <f t="shared" si="32"/>
        <v>46548</v>
      </c>
      <c r="R50" s="319">
        <v>45797</v>
      </c>
      <c r="S50" s="91">
        <f t="shared" ref="S50:S59" si="33">IF(ISBLANK(R50),"",EDATE(R50,24))-1</f>
        <v>46526</v>
      </c>
      <c r="T50" s="91" t="s">
        <v>231</v>
      </c>
      <c r="U50" s="91" t="s">
        <v>231</v>
      </c>
      <c r="V50" s="91" t="s">
        <v>232</v>
      </c>
      <c r="W50" s="91" t="s">
        <v>232</v>
      </c>
      <c r="X50" s="317">
        <v>45834</v>
      </c>
      <c r="Y50" s="91">
        <f t="shared" si="31"/>
        <v>46563</v>
      </c>
      <c r="Z50" s="317" t="s">
        <v>232</v>
      </c>
      <c r="AA50" s="317" t="s">
        <v>232</v>
      </c>
      <c r="AB50" s="319">
        <v>45819</v>
      </c>
      <c r="AC50" s="91">
        <f>IF(ISBLANK(AB50),"",EDATE(AB50,24))-1</f>
        <v>46548</v>
      </c>
      <c r="AD50" s="317" t="s">
        <v>232</v>
      </c>
      <c r="AE50" s="317" t="s">
        <v>232</v>
      </c>
      <c r="AF50" s="319">
        <v>45784</v>
      </c>
      <c r="AG50" s="91">
        <f t="shared" si="25"/>
        <v>46513</v>
      </c>
      <c r="AH50" s="91">
        <v>45741</v>
      </c>
      <c r="AI50" s="91">
        <f t="shared" si="23"/>
        <v>46470</v>
      </c>
      <c r="AJ50" s="91">
        <v>45744</v>
      </c>
      <c r="AK50" s="91">
        <f t="shared" si="24"/>
        <v>46473</v>
      </c>
      <c r="AL50" s="91">
        <v>45748</v>
      </c>
      <c r="AM50" s="380">
        <f t="shared" si="27"/>
        <v>46112</v>
      </c>
      <c r="AN50" s="91">
        <v>45747</v>
      </c>
      <c r="AO50" s="91">
        <f t="shared" si="7"/>
        <v>46476</v>
      </c>
      <c r="AP50" s="91">
        <v>45790</v>
      </c>
      <c r="AQ50" s="91">
        <f t="shared" si="8"/>
        <v>46519</v>
      </c>
      <c r="AR50" s="91">
        <v>45783</v>
      </c>
      <c r="AS50" s="91">
        <f t="shared" si="9"/>
        <v>46512</v>
      </c>
      <c r="AT50" s="91" t="s">
        <v>232</v>
      </c>
      <c r="AU50" s="91" t="s">
        <v>232</v>
      </c>
      <c r="AV50" s="91" t="s">
        <v>232</v>
      </c>
      <c r="AW50" s="91" t="s">
        <v>232</v>
      </c>
      <c r="AX50" s="317" t="s">
        <v>232</v>
      </c>
      <c r="AY50" s="317" t="s">
        <v>232</v>
      </c>
      <c r="AZ50" s="317" t="s">
        <v>232</v>
      </c>
      <c r="BA50" s="91" t="s">
        <v>232</v>
      </c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>
        <v>45737</v>
      </c>
      <c r="BM50" s="91">
        <f t="shared" si="10"/>
        <v>46466</v>
      </c>
      <c r="BN50" s="91" t="s">
        <v>232</v>
      </c>
      <c r="BO50" s="91" t="s">
        <v>232</v>
      </c>
      <c r="BP50" s="91" t="s">
        <v>232</v>
      </c>
      <c r="BQ50" s="91" t="s">
        <v>232</v>
      </c>
      <c r="BR50" s="91" t="s">
        <v>232</v>
      </c>
      <c r="BS50" s="91" t="s">
        <v>232</v>
      </c>
      <c r="BT50" s="91" t="s">
        <v>232</v>
      </c>
      <c r="BU50" s="91">
        <v>45751</v>
      </c>
      <c r="BV50" s="91">
        <v>45758</v>
      </c>
      <c r="BW50" s="91">
        <v>45754</v>
      </c>
      <c r="BX50" s="91">
        <v>45754</v>
      </c>
      <c r="BY50" s="91">
        <v>45750</v>
      </c>
      <c r="BZ50" s="91" t="s">
        <v>232</v>
      </c>
      <c r="CA50" s="91">
        <v>45749</v>
      </c>
      <c r="CB50" s="91" t="s">
        <v>232</v>
      </c>
      <c r="CC50" s="91">
        <v>45749</v>
      </c>
      <c r="CD50" s="91">
        <v>45756</v>
      </c>
      <c r="CE50" s="91" t="s">
        <v>232</v>
      </c>
      <c r="CF50" s="91" t="s">
        <v>232</v>
      </c>
      <c r="CG50" s="91" t="s">
        <v>232</v>
      </c>
      <c r="CH50" s="91" t="s">
        <v>232</v>
      </c>
      <c r="CI50" s="91" t="s">
        <v>232</v>
      </c>
      <c r="CJ50" s="91" t="s">
        <v>232</v>
      </c>
      <c r="CK50" s="91" t="s">
        <v>232</v>
      </c>
      <c r="CL50" s="11" t="s">
        <v>232</v>
      </c>
      <c r="CM50" s="91" t="s">
        <v>232</v>
      </c>
      <c r="CN50" s="91" t="s">
        <v>232</v>
      </c>
      <c r="CO50" s="91">
        <v>45891</v>
      </c>
      <c r="CP50" s="91" t="s">
        <v>232</v>
      </c>
      <c r="CQ50" s="10">
        <v>45742</v>
      </c>
      <c r="CR50" s="10" t="s">
        <v>232</v>
      </c>
      <c r="CS50" s="10" t="s">
        <v>232</v>
      </c>
      <c r="CT50" s="10" t="s">
        <v>232</v>
      </c>
      <c r="CU50" s="11" t="s">
        <v>232</v>
      </c>
      <c r="CV50" s="11">
        <v>46070</v>
      </c>
      <c r="CW50" s="11">
        <v>45807</v>
      </c>
      <c r="CX50" s="11" t="s">
        <v>232</v>
      </c>
      <c r="CY50" s="11"/>
      <c r="CZ50" s="11"/>
    </row>
    <row r="51" spans="2:104" s="68" customFormat="1" ht="50.25" customHeight="1">
      <c r="B51" s="331">
        <v>47</v>
      </c>
      <c r="C51" s="321" t="s">
        <v>390</v>
      </c>
      <c r="D51" s="376" t="s">
        <v>391</v>
      </c>
      <c r="E51" s="376" t="s">
        <v>392</v>
      </c>
      <c r="F51" s="324" t="s">
        <v>384</v>
      </c>
      <c r="G51" s="441" t="s">
        <v>232</v>
      </c>
      <c r="H51" s="319">
        <v>45792</v>
      </c>
      <c r="I51" s="91">
        <f t="shared" si="0"/>
        <v>46521</v>
      </c>
      <c r="J51" s="319">
        <v>45826</v>
      </c>
      <c r="K51" s="91">
        <f t="shared" si="1"/>
        <v>46555</v>
      </c>
      <c r="L51" s="91">
        <v>45827</v>
      </c>
      <c r="M51" s="91">
        <f t="shared" si="2"/>
        <v>46556</v>
      </c>
      <c r="N51" s="91">
        <v>45819</v>
      </c>
      <c r="O51" s="91">
        <v>46549</v>
      </c>
      <c r="P51" s="91">
        <v>45819</v>
      </c>
      <c r="Q51" s="91">
        <f t="shared" si="32"/>
        <v>46548</v>
      </c>
      <c r="R51" s="319">
        <v>45797</v>
      </c>
      <c r="S51" s="91">
        <f t="shared" si="33"/>
        <v>46526</v>
      </c>
      <c r="T51" s="317">
        <v>45825</v>
      </c>
      <c r="U51" s="91">
        <f>IF(ISBLANK(T51),"",EDATE(T51,24))-1</f>
        <v>46554</v>
      </c>
      <c r="V51" s="91">
        <v>45804</v>
      </c>
      <c r="W51" s="91">
        <f>IF(ISBLANK(V51),"",EDATE(V51,24))-1</f>
        <v>46533</v>
      </c>
      <c r="X51" s="317">
        <v>45834</v>
      </c>
      <c r="Y51" s="91">
        <f t="shared" si="31"/>
        <v>46563</v>
      </c>
      <c r="Z51" s="317" t="s">
        <v>232</v>
      </c>
      <c r="AA51" s="317" t="s">
        <v>232</v>
      </c>
      <c r="AB51" s="319">
        <v>45819</v>
      </c>
      <c r="AC51" s="91">
        <f>IF(ISBLANK(AB51),"",EDATE(AB51,24))-1</f>
        <v>46548</v>
      </c>
      <c r="AD51" s="317" t="s">
        <v>232</v>
      </c>
      <c r="AE51" s="317" t="s">
        <v>232</v>
      </c>
      <c r="AF51" s="319">
        <v>45784</v>
      </c>
      <c r="AG51" s="91">
        <f t="shared" si="25"/>
        <v>46513</v>
      </c>
      <c r="AH51" s="319">
        <v>45820</v>
      </c>
      <c r="AI51" s="91">
        <f t="shared" si="23"/>
        <v>46549</v>
      </c>
      <c r="AJ51" s="91">
        <v>45791</v>
      </c>
      <c r="AK51" s="91">
        <f t="shared" si="24"/>
        <v>46520</v>
      </c>
      <c r="AL51" s="91">
        <v>45785</v>
      </c>
      <c r="AM51" s="380">
        <f t="shared" si="27"/>
        <v>46149</v>
      </c>
      <c r="AN51" s="91">
        <v>45786</v>
      </c>
      <c r="AO51" s="91">
        <f t="shared" si="7"/>
        <v>46515</v>
      </c>
      <c r="AP51" s="91">
        <v>45790</v>
      </c>
      <c r="AQ51" s="91">
        <f t="shared" si="8"/>
        <v>46519</v>
      </c>
      <c r="AR51" s="91">
        <v>45783</v>
      </c>
      <c r="AS51" s="91">
        <f t="shared" si="9"/>
        <v>46512</v>
      </c>
      <c r="AT51" s="91" t="s">
        <v>232</v>
      </c>
      <c r="AU51" s="91" t="s">
        <v>232</v>
      </c>
      <c r="AV51" s="91" t="s">
        <v>232</v>
      </c>
      <c r="AW51" s="91" t="s">
        <v>232</v>
      </c>
      <c r="AX51" s="317" t="s">
        <v>232</v>
      </c>
      <c r="AY51" s="317" t="s">
        <v>232</v>
      </c>
      <c r="AZ51" s="91" t="s">
        <v>232</v>
      </c>
      <c r="BA51" s="91" t="s">
        <v>232</v>
      </c>
      <c r="BB51" s="91" t="s">
        <v>232</v>
      </c>
      <c r="BC51" s="91" t="s">
        <v>232</v>
      </c>
      <c r="BD51" s="91" t="s">
        <v>232</v>
      </c>
      <c r="BE51" s="91" t="s">
        <v>232</v>
      </c>
      <c r="BF51" s="91" t="s">
        <v>232</v>
      </c>
      <c r="BG51" s="91" t="s">
        <v>232</v>
      </c>
      <c r="BH51" s="91" t="s">
        <v>232</v>
      </c>
      <c r="BI51" s="91" t="s">
        <v>232</v>
      </c>
      <c r="BJ51" s="91" t="s">
        <v>232</v>
      </c>
      <c r="BK51" s="91" t="s">
        <v>232</v>
      </c>
      <c r="BL51" s="91">
        <v>45793</v>
      </c>
      <c r="BM51" s="91">
        <f t="shared" si="10"/>
        <v>46522</v>
      </c>
      <c r="BN51" s="91" t="s">
        <v>232</v>
      </c>
      <c r="BO51" s="91" t="s">
        <v>232</v>
      </c>
      <c r="BP51" s="91" t="s">
        <v>232</v>
      </c>
      <c r="BQ51" s="91" t="s">
        <v>232</v>
      </c>
      <c r="BR51" s="91" t="s">
        <v>232</v>
      </c>
      <c r="BS51" s="91" t="s">
        <v>232</v>
      </c>
      <c r="BT51" s="91" t="s">
        <v>232</v>
      </c>
      <c r="BU51" s="91" t="s">
        <v>232</v>
      </c>
      <c r="BV51" s="91" t="s">
        <v>232</v>
      </c>
      <c r="BW51" s="91" t="s">
        <v>232</v>
      </c>
      <c r="BX51" s="91">
        <v>45910</v>
      </c>
      <c r="BY51" s="91" t="s">
        <v>232</v>
      </c>
      <c r="BZ51" s="91" t="s">
        <v>232</v>
      </c>
      <c r="CA51" s="91" t="s">
        <v>232</v>
      </c>
      <c r="CB51" s="91" t="s">
        <v>232</v>
      </c>
      <c r="CC51" s="91" t="s">
        <v>232</v>
      </c>
      <c r="CD51" s="91" t="s">
        <v>232</v>
      </c>
      <c r="CE51" s="91" t="s">
        <v>232</v>
      </c>
      <c r="CF51" s="91" t="s">
        <v>232</v>
      </c>
      <c r="CG51" s="91" t="s">
        <v>232</v>
      </c>
      <c r="CH51" s="91" t="s">
        <v>232</v>
      </c>
      <c r="CI51" s="91" t="s">
        <v>232</v>
      </c>
      <c r="CJ51" s="91" t="s">
        <v>232</v>
      </c>
      <c r="CK51" s="91" t="s">
        <v>232</v>
      </c>
      <c r="CL51" s="11" t="s">
        <v>232</v>
      </c>
      <c r="CM51" s="91" t="s">
        <v>232</v>
      </c>
      <c r="CN51" s="91" t="s">
        <v>232</v>
      </c>
      <c r="CO51" s="91">
        <v>45891</v>
      </c>
      <c r="CP51" s="91" t="s">
        <v>232</v>
      </c>
      <c r="CQ51" s="10" t="s">
        <v>232</v>
      </c>
      <c r="CR51" s="10" t="s">
        <v>232</v>
      </c>
      <c r="CS51" s="10" t="s">
        <v>232</v>
      </c>
      <c r="CT51" s="10" t="s">
        <v>232</v>
      </c>
      <c r="CU51" s="11" t="s">
        <v>232</v>
      </c>
      <c r="CV51" s="11"/>
      <c r="CW51" s="11">
        <v>45807</v>
      </c>
      <c r="CX51" s="11" t="s">
        <v>232</v>
      </c>
      <c r="CY51" s="11"/>
      <c r="CZ51" s="11"/>
    </row>
    <row r="52" spans="2:104" ht="50.25" customHeight="1">
      <c r="B52" s="331">
        <v>48</v>
      </c>
      <c r="C52" s="321" t="s">
        <v>110</v>
      </c>
      <c r="D52" s="376" t="s">
        <v>111</v>
      </c>
      <c r="E52" s="376" t="s">
        <v>393</v>
      </c>
      <c r="F52" s="324" t="s">
        <v>384</v>
      </c>
      <c r="G52" s="441" t="s">
        <v>232</v>
      </c>
      <c r="H52" s="319">
        <v>45792</v>
      </c>
      <c r="I52" s="91">
        <f t="shared" si="0"/>
        <v>46521</v>
      </c>
      <c r="J52" s="319">
        <v>45826</v>
      </c>
      <c r="K52" s="91">
        <f t="shared" si="1"/>
        <v>46555</v>
      </c>
      <c r="L52" s="91">
        <v>45827</v>
      </c>
      <c r="M52" s="91">
        <f t="shared" si="2"/>
        <v>46556</v>
      </c>
      <c r="N52" s="91">
        <v>45819</v>
      </c>
      <c r="O52" s="91">
        <v>46549</v>
      </c>
      <c r="P52" s="91">
        <v>45819</v>
      </c>
      <c r="Q52" s="91">
        <f t="shared" si="32"/>
        <v>46548</v>
      </c>
      <c r="R52" s="319">
        <v>45797</v>
      </c>
      <c r="S52" s="91">
        <f t="shared" si="33"/>
        <v>46526</v>
      </c>
      <c r="T52" s="317">
        <v>45825</v>
      </c>
      <c r="U52" s="91">
        <f>IF(ISBLANK(T52),"",EDATE(T52,24))-1</f>
        <v>46554</v>
      </c>
      <c r="V52" s="91">
        <v>45804</v>
      </c>
      <c r="W52" s="91">
        <f>IF(ISBLANK(V52),"",EDATE(V52,24))-1</f>
        <v>46533</v>
      </c>
      <c r="X52" s="317">
        <v>45834</v>
      </c>
      <c r="Y52" s="91">
        <f t="shared" si="31"/>
        <v>46563</v>
      </c>
      <c r="Z52" s="317" t="s">
        <v>232</v>
      </c>
      <c r="AA52" s="317" t="s">
        <v>232</v>
      </c>
      <c r="AB52" s="319">
        <v>45819</v>
      </c>
      <c r="AC52" s="91">
        <f>IF(ISBLANK(AB52),"",EDATE(AB52,24))-1</f>
        <v>46548</v>
      </c>
      <c r="AD52" s="317" t="s">
        <v>232</v>
      </c>
      <c r="AE52" s="317" t="s">
        <v>232</v>
      </c>
      <c r="AF52" s="319">
        <v>45784</v>
      </c>
      <c r="AG52" s="91">
        <f t="shared" si="25"/>
        <v>46513</v>
      </c>
      <c r="AH52" s="319">
        <v>45820</v>
      </c>
      <c r="AI52" s="91">
        <f t="shared" si="23"/>
        <v>46549</v>
      </c>
      <c r="AJ52" s="91">
        <v>45791</v>
      </c>
      <c r="AK52" s="91">
        <f t="shared" si="24"/>
        <v>46520</v>
      </c>
      <c r="AL52" s="91">
        <v>45785</v>
      </c>
      <c r="AM52" s="380">
        <f t="shared" si="27"/>
        <v>46149</v>
      </c>
      <c r="AN52" s="91">
        <v>45786</v>
      </c>
      <c r="AO52" s="91">
        <f t="shared" si="7"/>
        <v>46515</v>
      </c>
      <c r="AP52" s="91">
        <v>45790</v>
      </c>
      <c r="AQ52" s="91">
        <f t="shared" si="8"/>
        <v>46519</v>
      </c>
      <c r="AR52" s="91">
        <v>45783</v>
      </c>
      <c r="AS52" s="91">
        <f t="shared" si="9"/>
        <v>46512</v>
      </c>
      <c r="AT52" s="91" t="s">
        <v>232</v>
      </c>
      <c r="AU52" s="91" t="s">
        <v>232</v>
      </c>
      <c r="AV52" s="91" t="s">
        <v>232</v>
      </c>
      <c r="AW52" s="91" t="s">
        <v>232</v>
      </c>
      <c r="AX52" s="317" t="s">
        <v>232</v>
      </c>
      <c r="AY52" s="317" t="s">
        <v>232</v>
      </c>
      <c r="AZ52" s="91" t="s">
        <v>232</v>
      </c>
      <c r="BA52" s="91" t="s">
        <v>232</v>
      </c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>
        <v>45793</v>
      </c>
      <c r="BM52" s="91">
        <f t="shared" si="10"/>
        <v>46522</v>
      </c>
      <c r="BN52" s="91" t="s">
        <v>232</v>
      </c>
      <c r="BO52" s="91" t="s">
        <v>232</v>
      </c>
      <c r="BP52" s="91" t="s">
        <v>232</v>
      </c>
      <c r="BQ52" s="91" t="s">
        <v>232</v>
      </c>
      <c r="BR52" s="91" t="s">
        <v>232</v>
      </c>
      <c r="BS52" s="91" t="s">
        <v>232</v>
      </c>
      <c r="BT52" s="91" t="s">
        <v>232</v>
      </c>
      <c r="BU52" s="91" t="s">
        <v>232</v>
      </c>
      <c r="BV52" s="91" t="s">
        <v>232</v>
      </c>
      <c r="BW52" s="91" t="s">
        <v>232</v>
      </c>
      <c r="BX52" s="91">
        <v>45910</v>
      </c>
      <c r="BY52" s="91" t="s">
        <v>232</v>
      </c>
      <c r="BZ52" s="91" t="s">
        <v>232</v>
      </c>
      <c r="CA52" s="91" t="s">
        <v>232</v>
      </c>
      <c r="CB52" s="91" t="s">
        <v>232</v>
      </c>
      <c r="CC52" s="91" t="s">
        <v>232</v>
      </c>
      <c r="CD52" s="91" t="s">
        <v>232</v>
      </c>
      <c r="CE52" s="91" t="s">
        <v>232</v>
      </c>
      <c r="CF52" s="91" t="s">
        <v>232</v>
      </c>
      <c r="CG52" s="91" t="s">
        <v>232</v>
      </c>
      <c r="CH52" s="91" t="s">
        <v>232</v>
      </c>
      <c r="CI52" s="91" t="s">
        <v>232</v>
      </c>
      <c r="CJ52" s="91" t="s">
        <v>232</v>
      </c>
      <c r="CK52" s="91" t="s">
        <v>232</v>
      </c>
      <c r="CL52" s="11" t="s">
        <v>232</v>
      </c>
      <c r="CM52" s="91" t="s">
        <v>232</v>
      </c>
      <c r="CN52" s="91" t="s">
        <v>232</v>
      </c>
      <c r="CO52" s="91">
        <v>45891</v>
      </c>
      <c r="CP52" s="91" t="s">
        <v>232</v>
      </c>
      <c r="CQ52" s="10" t="s">
        <v>232</v>
      </c>
      <c r="CR52" s="10" t="s">
        <v>232</v>
      </c>
      <c r="CS52" s="10" t="s">
        <v>232</v>
      </c>
      <c r="CT52" s="10" t="s">
        <v>232</v>
      </c>
      <c r="CU52" s="11" t="s">
        <v>232</v>
      </c>
      <c r="CV52" s="11"/>
      <c r="CW52" s="11">
        <v>45807</v>
      </c>
      <c r="CX52" s="11" t="s">
        <v>232</v>
      </c>
      <c r="CY52" s="11"/>
      <c r="CZ52" s="11"/>
    </row>
    <row r="53" spans="2:104" ht="50.25" customHeight="1">
      <c r="B53" s="331">
        <v>49</v>
      </c>
      <c r="C53" s="263" t="s">
        <v>112</v>
      </c>
      <c r="D53" s="376" t="s">
        <v>113</v>
      </c>
      <c r="E53" s="376" t="s">
        <v>394</v>
      </c>
      <c r="F53" s="377" t="s">
        <v>395</v>
      </c>
      <c r="G53" s="439" t="s">
        <v>396</v>
      </c>
      <c r="H53" s="319">
        <v>45792</v>
      </c>
      <c r="I53" s="91">
        <f t="shared" si="0"/>
        <v>46521</v>
      </c>
      <c r="J53" s="319">
        <v>45826</v>
      </c>
      <c r="K53" s="91">
        <f t="shared" si="1"/>
        <v>46555</v>
      </c>
      <c r="L53" s="91">
        <v>45827</v>
      </c>
      <c r="M53" s="91">
        <f t="shared" si="2"/>
        <v>46556</v>
      </c>
      <c r="N53" s="91">
        <v>45819</v>
      </c>
      <c r="O53" s="91">
        <v>46549</v>
      </c>
      <c r="P53" s="91">
        <v>45819</v>
      </c>
      <c r="Q53" s="91">
        <f t="shared" si="32"/>
        <v>46548</v>
      </c>
      <c r="R53" s="319">
        <v>45797</v>
      </c>
      <c r="S53" s="91">
        <f t="shared" si="33"/>
        <v>46526</v>
      </c>
      <c r="T53" s="91" t="s">
        <v>232</v>
      </c>
      <c r="U53" s="91" t="s">
        <v>232</v>
      </c>
      <c r="V53" s="91">
        <v>45804</v>
      </c>
      <c r="W53" s="91">
        <f>IF(ISBLANK(V53),"",EDATE(V53,24))-1</f>
        <v>46533</v>
      </c>
      <c r="X53" s="317">
        <v>45834</v>
      </c>
      <c r="Y53" s="91">
        <f t="shared" si="31"/>
        <v>46563</v>
      </c>
      <c r="Z53" s="91" t="s">
        <v>232</v>
      </c>
      <c r="AA53" s="91" t="s">
        <v>232</v>
      </c>
      <c r="AB53" s="91" t="s">
        <v>232</v>
      </c>
      <c r="AC53" s="91" t="s">
        <v>232</v>
      </c>
      <c r="AD53" s="91">
        <v>45998</v>
      </c>
      <c r="AE53" s="91">
        <f>IF(ISBLANK(AD53),"",EDATE(AD53,24))-1</f>
        <v>46727</v>
      </c>
      <c r="AF53" s="319">
        <v>45821</v>
      </c>
      <c r="AG53" s="91">
        <f t="shared" si="25"/>
        <v>46550</v>
      </c>
      <c r="AH53" s="319">
        <v>45820</v>
      </c>
      <c r="AI53" s="91">
        <f t="shared" si="23"/>
        <v>46549</v>
      </c>
      <c r="AJ53" s="91">
        <v>45791</v>
      </c>
      <c r="AK53" s="91">
        <f t="shared" si="24"/>
        <v>46520</v>
      </c>
      <c r="AL53" s="91">
        <v>45785</v>
      </c>
      <c r="AM53" s="380">
        <f t="shared" si="27"/>
        <v>46149</v>
      </c>
      <c r="AN53" s="91">
        <v>45786</v>
      </c>
      <c r="AO53" s="91">
        <f t="shared" si="7"/>
        <v>46515</v>
      </c>
      <c r="AP53" s="91">
        <v>45885</v>
      </c>
      <c r="AQ53" s="91">
        <f t="shared" si="8"/>
        <v>46614</v>
      </c>
      <c r="AR53" s="91" t="s">
        <v>232</v>
      </c>
      <c r="AS53" s="91" t="e">
        <f t="shared" si="9"/>
        <v>#VALUE!</v>
      </c>
      <c r="AT53" s="91">
        <v>45835</v>
      </c>
      <c r="AU53" s="91">
        <v>46565</v>
      </c>
      <c r="AV53" s="91" t="s">
        <v>232</v>
      </c>
      <c r="AW53" s="91" t="s">
        <v>232</v>
      </c>
      <c r="AX53" s="91">
        <v>45829</v>
      </c>
      <c r="AY53" s="91">
        <v>46558</v>
      </c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>
        <v>45793</v>
      </c>
      <c r="BM53" s="91">
        <f t="shared" si="10"/>
        <v>46522</v>
      </c>
      <c r="BN53" s="91" t="s">
        <v>232</v>
      </c>
      <c r="BO53" s="91" t="s">
        <v>232</v>
      </c>
      <c r="BP53" s="91" t="s">
        <v>232</v>
      </c>
      <c r="BQ53" s="91" t="s">
        <v>232</v>
      </c>
      <c r="BR53" s="91" t="s">
        <v>232</v>
      </c>
      <c r="BS53" s="91" t="s">
        <v>232</v>
      </c>
      <c r="BT53" s="91" t="s">
        <v>232</v>
      </c>
      <c r="BU53" s="10">
        <v>45993</v>
      </c>
      <c r="BV53" s="91" t="s">
        <v>232</v>
      </c>
      <c r="BW53" s="91" t="s">
        <v>232</v>
      </c>
      <c r="BX53" s="91" t="s">
        <v>232</v>
      </c>
      <c r="BY53" s="91">
        <v>45992</v>
      </c>
      <c r="BZ53" s="10">
        <v>46013</v>
      </c>
      <c r="CA53" s="10">
        <v>46007</v>
      </c>
      <c r="CB53" s="91" t="s">
        <v>232</v>
      </c>
      <c r="CC53" s="91">
        <v>46006</v>
      </c>
      <c r="CD53" s="91" t="s">
        <v>232</v>
      </c>
      <c r="CE53" s="91" t="s">
        <v>232</v>
      </c>
      <c r="CF53" s="91" t="s">
        <v>232</v>
      </c>
      <c r="CG53" s="91">
        <v>45814</v>
      </c>
      <c r="CH53" s="91" t="s">
        <v>232</v>
      </c>
      <c r="CI53" s="91" t="s">
        <v>232</v>
      </c>
      <c r="CJ53" s="91" t="s">
        <v>232</v>
      </c>
      <c r="CK53" s="91">
        <v>45810</v>
      </c>
      <c r="CL53" s="10">
        <v>45981</v>
      </c>
      <c r="CM53" s="91" t="s">
        <v>232</v>
      </c>
      <c r="CN53" s="91" t="s">
        <v>232</v>
      </c>
      <c r="CO53" s="91" t="s">
        <v>232</v>
      </c>
      <c r="CP53" s="91" t="s">
        <v>232</v>
      </c>
      <c r="CQ53" s="10">
        <v>46002</v>
      </c>
      <c r="CR53" s="10">
        <v>46002</v>
      </c>
      <c r="CS53" s="10">
        <v>46002</v>
      </c>
      <c r="CT53" s="10">
        <v>45828</v>
      </c>
      <c r="CU53" s="11" t="s">
        <v>232</v>
      </c>
      <c r="CV53" s="11"/>
      <c r="CW53" s="11" t="s">
        <v>232</v>
      </c>
      <c r="CX53" s="10">
        <v>45882</v>
      </c>
      <c r="CY53" s="10"/>
      <c r="CZ53" s="10"/>
    </row>
    <row r="54" spans="2:104" ht="50.25" customHeight="1">
      <c r="B54" s="331">
        <v>50</v>
      </c>
      <c r="C54" s="263" t="s">
        <v>397</v>
      </c>
      <c r="D54" s="376" t="s">
        <v>398</v>
      </c>
      <c r="E54" s="376" t="s">
        <v>399</v>
      </c>
      <c r="F54" s="377" t="s">
        <v>339</v>
      </c>
      <c r="G54" s="440" t="s">
        <v>400</v>
      </c>
      <c r="H54" s="319">
        <v>45792</v>
      </c>
      <c r="I54" s="91">
        <f t="shared" si="0"/>
        <v>46521</v>
      </c>
      <c r="J54" s="319">
        <v>45826</v>
      </c>
      <c r="K54" s="91">
        <f t="shared" si="1"/>
        <v>46555</v>
      </c>
      <c r="L54" s="91">
        <v>45827</v>
      </c>
      <c r="M54" s="91">
        <f t="shared" si="2"/>
        <v>46556</v>
      </c>
      <c r="N54" s="91">
        <v>45819</v>
      </c>
      <c r="O54" s="91">
        <f>IF(ISBLANK(N54),"",EDATE(N54,24))-1</f>
        <v>46548</v>
      </c>
      <c r="P54" s="91">
        <v>45819</v>
      </c>
      <c r="Q54" s="91">
        <f t="shared" si="32"/>
        <v>46548</v>
      </c>
      <c r="R54" s="319">
        <v>45797</v>
      </c>
      <c r="S54" s="91">
        <f t="shared" si="33"/>
        <v>46526</v>
      </c>
      <c r="T54" s="91" t="s">
        <v>231</v>
      </c>
      <c r="U54" s="91" t="s">
        <v>231</v>
      </c>
      <c r="V54" s="91">
        <v>45804</v>
      </c>
      <c r="W54" s="91">
        <f>IF(ISBLANK(V54),"",EDATE(V54,24))-1</f>
        <v>46533</v>
      </c>
      <c r="X54" s="317">
        <v>45834</v>
      </c>
      <c r="Y54" s="91">
        <f t="shared" si="31"/>
        <v>46563</v>
      </c>
      <c r="Z54" s="91" t="s">
        <v>232</v>
      </c>
      <c r="AA54" s="91" t="s">
        <v>232</v>
      </c>
      <c r="AB54" s="91" t="s">
        <v>231</v>
      </c>
      <c r="AC54" s="91" t="s">
        <v>231</v>
      </c>
      <c r="AD54" s="91" t="s">
        <v>232</v>
      </c>
      <c r="AE54" s="91" t="s">
        <v>232</v>
      </c>
      <c r="AF54" s="319">
        <v>45821</v>
      </c>
      <c r="AG54" s="91">
        <f t="shared" si="25"/>
        <v>46550</v>
      </c>
      <c r="AH54" s="319">
        <v>45800</v>
      </c>
      <c r="AI54" s="91">
        <f t="shared" si="23"/>
        <v>46529</v>
      </c>
      <c r="AJ54" s="91">
        <v>45791</v>
      </c>
      <c r="AK54" s="91">
        <f t="shared" si="24"/>
        <v>46520</v>
      </c>
      <c r="AL54" s="91">
        <v>45785</v>
      </c>
      <c r="AM54" s="380">
        <f t="shared" si="27"/>
        <v>46149</v>
      </c>
      <c r="AN54" s="91">
        <v>45786</v>
      </c>
      <c r="AO54" s="91">
        <f t="shared" si="7"/>
        <v>46515</v>
      </c>
      <c r="AP54" s="91">
        <v>45885</v>
      </c>
      <c r="AQ54" s="91">
        <f t="shared" si="8"/>
        <v>46614</v>
      </c>
      <c r="AR54" s="91" t="s">
        <v>232</v>
      </c>
      <c r="AS54" s="91" t="e">
        <f t="shared" si="9"/>
        <v>#VALUE!</v>
      </c>
      <c r="AT54" s="91" t="s">
        <v>232</v>
      </c>
      <c r="AU54" s="91" t="s">
        <v>232</v>
      </c>
      <c r="AV54" s="91" t="s">
        <v>232</v>
      </c>
      <c r="AW54" s="91" t="s">
        <v>232</v>
      </c>
      <c r="AX54" s="317" t="s">
        <v>232</v>
      </c>
      <c r="AY54" s="317" t="s">
        <v>232</v>
      </c>
      <c r="AZ54" s="317">
        <v>45812</v>
      </c>
      <c r="BA54" s="91">
        <f>IF(ISBLANK(AZ54),"",EDATE(AZ54,24))-1</f>
        <v>46541</v>
      </c>
      <c r="BB54" s="91" t="s">
        <v>232</v>
      </c>
      <c r="BC54" s="91" t="s">
        <v>232</v>
      </c>
      <c r="BD54" s="91">
        <v>45944</v>
      </c>
      <c r="BE54" s="91">
        <f>IF(ISBLANK(BD54),"",EDATE(BD54,24))-1</f>
        <v>46673</v>
      </c>
      <c r="BF54" s="91" t="s">
        <v>232</v>
      </c>
      <c r="BG54" s="91" t="s">
        <v>232</v>
      </c>
      <c r="BH54" s="91" t="s">
        <v>232</v>
      </c>
      <c r="BI54" s="91" t="s">
        <v>232</v>
      </c>
      <c r="BJ54" s="91">
        <v>45754</v>
      </c>
      <c r="BK54" s="91">
        <v>46483</v>
      </c>
      <c r="BL54" s="91">
        <v>45793</v>
      </c>
      <c r="BM54" s="91">
        <f t="shared" si="10"/>
        <v>46522</v>
      </c>
      <c r="BN54" s="91" t="s">
        <v>232</v>
      </c>
      <c r="BO54" s="91" t="s">
        <v>232</v>
      </c>
      <c r="BP54" s="91" t="s">
        <v>232</v>
      </c>
      <c r="BQ54" s="91" t="s">
        <v>232</v>
      </c>
      <c r="BR54" s="91" t="s">
        <v>232</v>
      </c>
      <c r="BS54" s="91" t="s">
        <v>232</v>
      </c>
      <c r="BT54" s="91" t="s">
        <v>232</v>
      </c>
      <c r="BU54" s="91" t="s">
        <v>232</v>
      </c>
      <c r="BV54" s="91" t="s">
        <v>232</v>
      </c>
      <c r="BW54" s="91" t="s">
        <v>232</v>
      </c>
      <c r="BX54" s="91" t="s">
        <v>232</v>
      </c>
      <c r="BY54" s="91" t="s">
        <v>232</v>
      </c>
      <c r="BZ54" s="91" t="s">
        <v>232</v>
      </c>
      <c r="CA54" s="91" t="s">
        <v>232</v>
      </c>
      <c r="CB54" s="91" t="s">
        <v>232</v>
      </c>
      <c r="CC54" s="91" t="s">
        <v>232</v>
      </c>
      <c r="CD54" s="91" t="s">
        <v>232</v>
      </c>
      <c r="CE54" s="91" t="s">
        <v>232</v>
      </c>
      <c r="CF54" s="91">
        <v>45853</v>
      </c>
      <c r="CG54" s="91">
        <v>45814</v>
      </c>
      <c r="CH54" s="91" t="s">
        <v>232</v>
      </c>
      <c r="CI54" s="91" t="s">
        <v>232</v>
      </c>
      <c r="CJ54" s="91" t="s">
        <v>232</v>
      </c>
      <c r="CK54" s="91" t="s">
        <v>232</v>
      </c>
      <c r="CL54" s="11" t="s">
        <v>232</v>
      </c>
      <c r="CM54" s="91" t="s">
        <v>232</v>
      </c>
      <c r="CN54" s="91" t="s">
        <v>232</v>
      </c>
      <c r="CO54" s="91" t="s">
        <v>232</v>
      </c>
      <c r="CP54" s="91" t="s">
        <v>232</v>
      </c>
      <c r="CQ54" s="10">
        <v>45945</v>
      </c>
      <c r="CR54" s="10" t="s">
        <v>232</v>
      </c>
      <c r="CS54" s="10" t="s">
        <v>232</v>
      </c>
      <c r="CT54" s="10" t="s">
        <v>232</v>
      </c>
      <c r="CU54" s="11" t="s">
        <v>232</v>
      </c>
      <c r="CV54" s="11"/>
      <c r="CW54" s="11">
        <v>45807</v>
      </c>
      <c r="CX54" s="11" t="s">
        <v>232</v>
      </c>
      <c r="CY54" s="11"/>
      <c r="CZ54" s="11"/>
    </row>
    <row r="55" spans="2:104" ht="50.25" customHeight="1">
      <c r="B55" s="331">
        <v>51</v>
      </c>
      <c r="C55" s="263" t="s">
        <v>114</v>
      </c>
      <c r="D55" s="376" t="s">
        <v>115</v>
      </c>
      <c r="E55" s="376" t="s">
        <v>401</v>
      </c>
      <c r="F55" s="377" t="s">
        <v>339</v>
      </c>
      <c r="G55" s="439" t="s">
        <v>366</v>
      </c>
      <c r="H55" s="319">
        <v>45792</v>
      </c>
      <c r="I55" s="91">
        <f t="shared" si="0"/>
        <v>46521</v>
      </c>
      <c r="J55" s="319">
        <v>45826</v>
      </c>
      <c r="K55" s="91">
        <f t="shared" si="1"/>
        <v>46555</v>
      </c>
      <c r="L55" s="91">
        <v>45827</v>
      </c>
      <c r="M55" s="91">
        <f t="shared" si="2"/>
        <v>46556</v>
      </c>
      <c r="N55" s="91">
        <v>45819</v>
      </c>
      <c r="O55" s="91">
        <v>46549</v>
      </c>
      <c r="P55" s="91">
        <v>45819</v>
      </c>
      <c r="Q55" s="91">
        <f t="shared" si="32"/>
        <v>46548</v>
      </c>
      <c r="R55" s="319">
        <v>45797</v>
      </c>
      <c r="S55" s="91">
        <f t="shared" si="33"/>
        <v>46526</v>
      </c>
      <c r="T55" s="317">
        <v>45825</v>
      </c>
      <c r="U55" s="91">
        <f>IF(ISBLANK(T55),"",EDATE(T55,24))-1</f>
        <v>46554</v>
      </c>
      <c r="V55" s="91">
        <v>45804</v>
      </c>
      <c r="W55" s="91">
        <v>46534</v>
      </c>
      <c r="X55" s="317">
        <v>45834</v>
      </c>
      <c r="Y55" s="91">
        <f t="shared" si="31"/>
        <v>46563</v>
      </c>
      <c r="Z55" s="91" t="s">
        <v>232</v>
      </c>
      <c r="AA55" s="91" t="s">
        <v>232</v>
      </c>
      <c r="AB55" s="91" t="s">
        <v>232</v>
      </c>
      <c r="AC55" s="91" t="s">
        <v>232</v>
      </c>
      <c r="AD55" s="91" t="s">
        <v>232</v>
      </c>
      <c r="AE55" s="91" t="s">
        <v>232</v>
      </c>
      <c r="AF55" s="319">
        <v>45821</v>
      </c>
      <c r="AG55" s="91">
        <f t="shared" si="25"/>
        <v>46550</v>
      </c>
      <c r="AH55" s="319">
        <v>45820</v>
      </c>
      <c r="AI55" s="91">
        <f t="shared" si="23"/>
        <v>46549</v>
      </c>
      <c r="AJ55" s="91">
        <v>45791</v>
      </c>
      <c r="AK55" s="91">
        <f t="shared" si="24"/>
        <v>46520</v>
      </c>
      <c r="AL55" s="91">
        <v>45785</v>
      </c>
      <c r="AM55" s="380">
        <f t="shared" si="27"/>
        <v>46149</v>
      </c>
      <c r="AN55" s="91">
        <v>45786</v>
      </c>
      <c r="AO55" s="91">
        <f t="shared" si="7"/>
        <v>46515</v>
      </c>
      <c r="AP55" s="91">
        <v>45885</v>
      </c>
      <c r="AQ55" s="91">
        <f t="shared" si="8"/>
        <v>46614</v>
      </c>
      <c r="AR55" s="91" t="s">
        <v>232</v>
      </c>
      <c r="AS55" s="91" t="e">
        <f t="shared" si="9"/>
        <v>#VALUE!</v>
      </c>
      <c r="AT55" s="91" t="s">
        <v>232</v>
      </c>
      <c r="AU55" s="91" t="s">
        <v>232</v>
      </c>
      <c r="AV55" s="91" t="s">
        <v>232</v>
      </c>
      <c r="AW55" s="91" t="s">
        <v>232</v>
      </c>
      <c r="AX55" s="91">
        <v>45828</v>
      </c>
      <c r="AY55" s="91">
        <v>46558</v>
      </c>
      <c r="AZ55" s="91" t="s">
        <v>232</v>
      </c>
      <c r="BA55" s="91" t="s">
        <v>232</v>
      </c>
      <c r="BB55" s="91" t="s">
        <v>232</v>
      </c>
      <c r="BC55" s="91" t="s">
        <v>232</v>
      </c>
      <c r="BD55" s="91">
        <v>45944</v>
      </c>
      <c r="BE55" s="90">
        <f>IF(ISBLANK(BD55),"",EDATE(BD55,24))-1</f>
        <v>46673</v>
      </c>
      <c r="BF55" s="91" t="s">
        <v>232</v>
      </c>
      <c r="BG55" s="91" t="s">
        <v>232</v>
      </c>
      <c r="BH55" s="91" t="s">
        <v>232</v>
      </c>
      <c r="BI55" s="91" t="s">
        <v>232</v>
      </c>
      <c r="BJ55" s="91" t="s">
        <v>232</v>
      </c>
      <c r="BK55" s="91" t="s">
        <v>232</v>
      </c>
      <c r="BL55" s="91">
        <v>45793</v>
      </c>
      <c r="BM55" s="91">
        <f t="shared" si="10"/>
        <v>46522</v>
      </c>
      <c r="BN55" s="91" t="s">
        <v>232</v>
      </c>
      <c r="BO55" s="91" t="s">
        <v>232</v>
      </c>
      <c r="BP55" s="91" t="s">
        <v>232</v>
      </c>
      <c r="BQ55" s="91" t="s">
        <v>232</v>
      </c>
      <c r="BR55" s="91" t="s">
        <v>232</v>
      </c>
      <c r="BS55" s="91" t="s">
        <v>232</v>
      </c>
      <c r="BT55" s="91" t="s">
        <v>232</v>
      </c>
      <c r="BU55" s="10">
        <v>45993</v>
      </c>
      <c r="BV55" s="91" t="s">
        <v>232</v>
      </c>
      <c r="BW55" s="91" t="s">
        <v>232</v>
      </c>
      <c r="BX55" s="91" t="s">
        <v>232</v>
      </c>
      <c r="BY55" s="91">
        <v>45992</v>
      </c>
      <c r="BZ55" s="10">
        <v>46013</v>
      </c>
      <c r="CA55" s="10">
        <v>46007</v>
      </c>
      <c r="CB55" s="91" t="s">
        <v>232</v>
      </c>
      <c r="CC55" s="91">
        <v>46006</v>
      </c>
      <c r="CD55" s="91" t="s">
        <v>232</v>
      </c>
      <c r="CE55" s="91" t="s">
        <v>232</v>
      </c>
      <c r="CF55" s="91" t="s">
        <v>232</v>
      </c>
      <c r="CG55" s="91" t="s">
        <v>232</v>
      </c>
      <c r="CH55" s="91" t="s">
        <v>232</v>
      </c>
      <c r="CI55" s="91" t="s">
        <v>232</v>
      </c>
      <c r="CJ55" s="91" t="s">
        <v>232</v>
      </c>
      <c r="CK55" s="91" t="s">
        <v>232</v>
      </c>
      <c r="CL55" s="11" t="s">
        <v>232</v>
      </c>
      <c r="CM55" s="91" t="s">
        <v>232</v>
      </c>
      <c r="CN55" s="91" t="s">
        <v>232</v>
      </c>
      <c r="CO55" s="91" t="s">
        <v>232</v>
      </c>
      <c r="CP55" s="91" t="s">
        <v>232</v>
      </c>
      <c r="CQ55" s="10">
        <v>46002</v>
      </c>
      <c r="CR55" s="10">
        <v>46002</v>
      </c>
      <c r="CS55" s="10">
        <v>46002</v>
      </c>
      <c r="CT55" s="10" t="s">
        <v>232</v>
      </c>
      <c r="CU55" s="11" t="s">
        <v>232</v>
      </c>
      <c r="CV55" s="11">
        <v>46070</v>
      </c>
      <c r="CW55" s="11" t="s">
        <v>232</v>
      </c>
      <c r="CX55" s="11" t="s">
        <v>232</v>
      </c>
      <c r="CY55" s="11"/>
      <c r="CZ55" s="10">
        <v>46017</v>
      </c>
    </row>
    <row r="56" spans="2:104" ht="50.25" customHeight="1">
      <c r="B56" s="331">
        <v>52</v>
      </c>
      <c r="C56" s="321" t="s">
        <v>402</v>
      </c>
      <c r="D56" s="376" t="s">
        <v>403</v>
      </c>
      <c r="E56" s="376" t="s">
        <v>404</v>
      </c>
      <c r="F56" s="377" t="s">
        <v>405</v>
      </c>
      <c r="G56" s="440" t="s">
        <v>232</v>
      </c>
      <c r="H56" s="319">
        <v>45934</v>
      </c>
      <c r="I56" s="91">
        <f t="shared" si="0"/>
        <v>46663</v>
      </c>
      <c r="J56" s="319">
        <v>45826</v>
      </c>
      <c r="K56" s="91">
        <f t="shared" si="1"/>
        <v>46555</v>
      </c>
      <c r="L56" s="91">
        <v>45827</v>
      </c>
      <c r="M56" s="91">
        <f t="shared" si="2"/>
        <v>46556</v>
      </c>
      <c r="N56" s="91">
        <v>45819</v>
      </c>
      <c r="O56" s="91">
        <v>46549</v>
      </c>
      <c r="P56" s="91">
        <v>45819</v>
      </c>
      <c r="Q56" s="91">
        <f t="shared" si="32"/>
        <v>46548</v>
      </c>
      <c r="R56" s="91">
        <v>45888</v>
      </c>
      <c r="S56" s="91">
        <f t="shared" si="33"/>
        <v>46617</v>
      </c>
      <c r="T56" s="317">
        <v>45825</v>
      </c>
      <c r="U56" s="91">
        <f>IF(ISBLANK(T56),"",EDATE(T56,24))-1</f>
        <v>46554</v>
      </c>
      <c r="V56" s="325">
        <v>45978</v>
      </c>
      <c r="W56" s="91">
        <f t="shared" ref="W56:W77" si="34">IF(ISBLANK(V56),"",EDATE(V56,24))-1</f>
        <v>46707</v>
      </c>
      <c r="X56" s="317">
        <v>45834</v>
      </c>
      <c r="Y56" s="91">
        <f t="shared" si="31"/>
        <v>46563</v>
      </c>
      <c r="Z56" s="327">
        <v>45989</v>
      </c>
      <c r="AA56" s="91">
        <f t="shared" ref="AA56:AA73" si="35">IF(ISBLANK(Z56),"",EDATE(Z56,24))-1</f>
        <v>46718</v>
      </c>
      <c r="AB56" s="91">
        <v>45976</v>
      </c>
      <c r="AC56" s="91">
        <f t="shared" ref="AC56:AC77" si="36">IF(ISBLANK(AB56),"",EDATE(AB56,24))-1</f>
        <v>46705</v>
      </c>
      <c r="AD56" s="91">
        <v>46000</v>
      </c>
      <c r="AE56" s="91">
        <f t="shared" ref="AE56:AE77" si="37">IF(ISBLANK(AD56),"",EDATE(AD56,24))-1</f>
        <v>46729</v>
      </c>
      <c r="AF56" s="319">
        <v>45821</v>
      </c>
      <c r="AG56" s="91">
        <f t="shared" si="25"/>
        <v>46550</v>
      </c>
      <c r="AH56" s="319">
        <v>45939</v>
      </c>
      <c r="AI56" s="91">
        <f t="shared" si="23"/>
        <v>46668</v>
      </c>
      <c r="AJ56" s="319">
        <v>45940</v>
      </c>
      <c r="AK56" s="91">
        <f t="shared" si="24"/>
        <v>46669</v>
      </c>
      <c r="AL56" s="319">
        <v>45941</v>
      </c>
      <c r="AM56" s="380">
        <f t="shared" si="27"/>
        <v>46305</v>
      </c>
      <c r="AN56" s="319">
        <v>45942</v>
      </c>
      <c r="AO56" s="91">
        <f t="shared" si="7"/>
        <v>46671</v>
      </c>
      <c r="AP56" s="91">
        <v>45885</v>
      </c>
      <c r="AQ56" s="91">
        <f t="shared" si="8"/>
        <v>46614</v>
      </c>
      <c r="AR56" s="91" t="s">
        <v>232</v>
      </c>
      <c r="AS56" s="91" t="e">
        <f t="shared" si="9"/>
        <v>#VALUE!</v>
      </c>
      <c r="AT56" s="91" t="s">
        <v>231</v>
      </c>
      <c r="AU56" s="91" t="s">
        <v>231</v>
      </c>
      <c r="AV56" s="91" t="s">
        <v>231</v>
      </c>
      <c r="AW56" s="91" t="s">
        <v>231</v>
      </c>
      <c r="AX56" s="91" t="s">
        <v>231</v>
      </c>
      <c r="AY56" s="91" t="s">
        <v>231</v>
      </c>
      <c r="AZ56" s="91" t="s">
        <v>231</v>
      </c>
      <c r="BA56" s="91" t="s">
        <v>231</v>
      </c>
      <c r="BB56" s="91" t="s">
        <v>231</v>
      </c>
      <c r="BC56" s="91" t="s">
        <v>231</v>
      </c>
      <c r="BD56" s="91" t="s">
        <v>231</v>
      </c>
      <c r="BE56" s="91" t="s">
        <v>231</v>
      </c>
      <c r="BF56" s="91" t="s">
        <v>231</v>
      </c>
      <c r="BG56" s="91" t="s">
        <v>231</v>
      </c>
      <c r="BH56" s="91" t="s">
        <v>231</v>
      </c>
      <c r="BI56" s="91" t="s">
        <v>231</v>
      </c>
      <c r="BJ56" s="91" t="s">
        <v>231</v>
      </c>
      <c r="BK56" s="91" t="s">
        <v>231</v>
      </c>
      <c r="BL56" s="91" t="s">
        <v>232</v>
      </c>
      <c r="BM56" s="91" t="e">
        <f t="shared" si="10"/>
        <v>#VALUE!</v>
      </c>
      <c r="BN56" s="91" t="s">
        <v>231</v>
      </c>
      <c r="BO56" s="91" t="s">
        <v>231</v>
      </c>
      <c r="BP56" s="91" t="s">
        <v>231</v>
      </c>
      <c r="BQ56" s="91" t="s">
        <v>231</v>
      </c>
      <c r="BR56" s="91" t="s">
        <v>231</v>
      </c>
      <c r="BS56" s="91" t="s">
        <v>231</v>
      </c>
      <c r="BT56" s="91" t="s">
        <v>231</v>
      </c>
      <c r="BU56" s="91" t="s">
        <v>232</v>
      </c>
      <c r="BV56" s="91" t="s">
        <v>232</v>
      </c>
      <c r="BW56" s="91" t="s">
        <v>232</v>
      </c>
      <c r="BX56" s="91" t="s">
        <v>232</v>
      </c>
      <c r="BY56" s="91" t="s">
        <v>232</v>
      </c>
      <c r="BZ56" s="91" t="s">
        <v>232</v>
      </c>
      <c r="CA56" s="91" t="s">
        <v>232</v>
      </c>
      <c r="CB56" s="91" t="s">
        <v>232</v>
      </c>
      <c r="CC56" s="91" t="s">
        <v>232</v>
      </c>
      <c r="CD56" s="91" t="s">
        <v>232</v>
      </c>
      <c r="CE56" s="91" t="s">
        <v>232</v>
      </c>
      <c r="CF56" s="91" t="s">
        <v>232</v>
      </c>
      <c r="CG56" s="91" t="s">
        <v>232</v>
      </c>
      <c r="CH56" s="91" t="s">
        <v>232</v>
      </c>
      <c r="CI56" s="91" t="s">
        <v>232</v>
      </c>
      <c r="CJ56" s="91" t="s">
        <v>232</v>
      </c>
      <c r="CK56" s="91" t="s">
        <v>232</v>
      </c>
      <c r="CL56" s="11" t="s">
        <v>232</v>
      </c>
      <c r="CM56" s="91" t="s">
        <v>232</v>
      </c>
      <c r="CN56" s="91" t="s">
        <v>232</v>
      </c>
      <c r="CO56" s="91" t="s">
        <v>232</v>
      </c>
      <c r="CP56" s="91" t="s">
        <v>232</v>
      </c>
      <c r="CQ56" s="38" t="s">
        <v>232</v>
      </c>
      <c r="CR56" s="38" t="s">
        <v>232</v>
      </c>
      <c r="CS56" s="38" t="s">
        <v>232</v>
      </c>
      <c r="CT56" s="38" t="s">
        <v>232</v>
      </c>
      <c r="CU56" s="38" t="s">
        <v>232</v>
      </c>
      <c r="CV56" s="38"/>
      <c r="CW56" s="39" t="s">
        <v>232</v>
      </c>
      <c r="CX56" s="39" t="s">
        <v>232</v>
      </c>
      <c r="CY56" s="11"/>
      <c r="CZ56" s="11"/>
    </row>
    <row r="57" spans="2:104" ht="50.25" customHeight="1">
      <c r="B57" s="331">
        <v>53</v>
      </c>
      <c r="C57" s="295" t="s">
        <v>406</v>
      </c>
      <c r="D57" s="384" t="s">
        <v>407</v>
      </c>
      <c r="E57" s="384" t="s">
        <v>408</v>
      </c>
      <c r="F57" s="385" t="s">
        <v>409</v>
      </c>
      <c r="G57" s="440" t="s">
        <v>232</v>
      </c>
      <c r="H57" s="290">
        <v>45934</v>
      </c>
      <c r="I57" s="91">
        <f t="shared" si="0"/>
        <v>46663</v>
      </c>
      <c r="J57" s="290">
        <v>45935</v>
      </c>
      <c r="K57" s="91">
        <f t="shared" si="1"/>
        <v>46664</v>
      </c>
      <c r="L57" s="290">
        <v>45936</v>
      </c>
      <c r="M57" s="91">
        <f t="shared" si="2"/>
        <v>46665</v>
      </c>
      <c r="N57" s="10">
        <v>45974</v>
      </c>
      <c r="O57" s="325">
        <v>46703</v>
      </c>
      <c r="P57" s="10">
        <v>45974</v>
      </c>
      <c r="Q57" s="91">
        <f t="shared" si="32"/>
        <v>46703</v>
      </c>
      <c r="R57" s="386">
        <v>45888</v>
      </c>
      <c r="S57" s="91">
        <f t="shared" si="33"/>
        <v>46617</v>
      </c>
      <c r="T57" s="325">
        <v>45995</v>
      </c>
      <c r="U57" s="91">
        <f t="shared" ref="U57:U63" si="38">IF(ISBLANK(T57),"",EDATE(T57,24))-1</f>
        <v>46724</v>
      </c>
      <c r="V57" s="325">
        <v>45978</v>
      </c>
      <c r="W57" s="91">
        <f t="shared" si="34"/>
        <v>46707</v>
      </c>
      <c r="X57" s="17">
        <v>45972</v>
      </c>
      <c r="Y57" s="91">
        <f t="shared" si="31"/>
        <v>46701</v>
      </c>
      <c r="Z57" s="327">
        <v>45989</v>
      </c>
      <c r="AA57" s="91">
        <f t="shared" si="35"/>
        <v>46718</v>
      </c>
      <c r="AB57" s="91">
        <v>45976</v>
      </c>
      <c r="AC57" s="91">
        <f t="shared" si="36"/>
        <v>46705</v>
      </c>
      <c r="AD57" s="91">
        <v>46000</v>
      </c>
      <c r="AE57" s="91">
        <f t="shared" si="37"/>
        <v>46729</v>
      </c>
      <c r="AF57" s="387">
        <v>45933</v>
      </c>
      <c r="AG57" s="91">
        <f t="shared" si="25"/>
        <v>46662</v>
      </c>
      <c r="AH57" s="388">
        <v>45939</v>
      </c>
      <c r="AI57" s="91">
        <f t="shared" si="23"/>
        <v>46668</v>
      </c>
      <c r="AJ57" s="388">
        <v>45940</v>
      </c>
      <c r="AK57" s="91">
        <f t="shared" si="24"/>
        <v>46669</v>
      </c>
      <c r="AL57" s="389">
        <v>45941</v>
      </c>
      <c r="AM57" s="380">
        <f t="shared" si="27"/>
        <v>46305</v>
      </c>
      <c r="AN57" s="389">
        <v>45942</v>
      </c>
      <c r="AO57" s="91">
        <f t="shared" si="7"/>
        <v>46671</v>
      </c>
      <c r="AP57" s="91" t="s">
        <v>232</v>
      </c>
      <c r="AQ57" s="91" t="e">
        <f t="shared" si="8"/>
        <v>#VALUE!</v>
      </c>
      <c r="AR57" s="238" t="s">
        <v>232</v>
      </c>
      <c r="AS57" s="91" t="e">
        <f t="shared" si="9"/>
        <v>#VALUE!</v>
      </c>
      <c r="AT57" s="10" t="s">
        <v>232</v>
      </c>
      <c r="AU57" s="10" t="s">
        <v>232</v>
      </c>
      <c r="AV57" s="10" t="s">
        <v>232</v>
      </c>
      <c r="AW57" s="10" t="s">
        <v>232</v>
      </c>
      <c r="AX57" s="10" t="s">
        <v>232</v>
      </c>
      <c r="AY57" s="10" t="s">
        <v>232</v>
      </c>
      <c r="AZ57" s="10" t="s">
        <v>232</v>
      </c>
      <c r="BA57" s="10" t="s">
        <v>232</v>
      </c>
      <c r="BB57" s="10" t="s">
        <v>232</v>
      </c>
      <c r="BC57" s="10" t="s">
        <v>232</v>
      </c>
      <c r="BD57" s="10" t="s">
        <v>232</v>
      </c>
      <c r="BE57" s="10" t="s">
        <v>232</v>
      </c>
      <c r="BF57" s="1" t="s">
        <v>232</v>
      </c>
      <c r="BG57" s="1" t="s">
        <v>232</v>
      </c>
      <c r="BH57" s="91" t="s">
        <v>232</v>
      </c>
      <c r="BI57" s="91" t="s">
        <v>232</v>
      </c>
      <c r="BJ57" s="91" t="s">
        <v>232</v>
      </c>
      <c r="BK57" s="91" t="s">
        <v>232</v>
      </c>
      <c r="BL57" s="10" t="s">
        <v>232</v>
      </c>
      <c r="BM57" s="91" t="e">
        <f t="shared" si="10"/>
        <v>#VALUE!</v>
      </c>
      <c r="BN57" s="10" t="s">
        <v>232</v>
      </c>
      <c r="BO57" s="10" t="s">
        <v>232</v>
      </c>
      <c r="BP57" s="10" t="s">
        <v>232</v>
      </c>
      <c r="BQ57" s="10" t="s">
        <v>232</v>
      </c>
      <c r="BR57" s="10" t="s">
        <v>232</v>
      </c>
      <c r="BS57" s="10" t="s">
        <v>232</v>
      </c>
      <c r="BT57" s="10" t="s">
        <v>232</v>
      </c>
      <c r="BU57" s="10">
        <v>45993</v>
      </c>
      <c r="BV57" s="10" t="s">
        <v>232</v>
      </c>
      <c r="BW57" s="10">
        <v>46007</v>
      </c>
      <c r="BX57" s="10">
        <v>45910</v>
      </c>
      <c r="BY57" s="10">
        <v>45992</v>
      </c>
      <c r="BZ57" s="10" t="s">
        <v>232</v>
      </c>
      <c r="CA57" s="10">
        <v>46007</v>
      </c>
      <c r="CB57" s="1" t="s">
        <v>232</v>
      </c>
      <c r="CC57" s="390" t="s">
        <v>232</v>
      </c>
      <c r="CD57" s="1" t="s">
        <v>232</v>
      </c>
      <c r="CE57" s="70" t="s">
        <v>232</v>
      </c>
      <c r="CF57" s="70" t="s">
        <v>232</v>
      </c>
      <c r="CG57" s="70" t="s">
        <v>232</v>
      </c>
      <c r="CH57" s="70" t="s">
        <v>232</v>
      </c>
      <c r="CI57" s="391" t="s">
        <v>232</v>
      </c>
      <c r="CJ57" s="10" t="s">
        <v>232</v>
      </c>
      <c r="CK57" s="91" t="s">
        <v>232</v>
      </c>
      <c r="CL57" s="11" t="s">
        <v>232</v>
      </c>
      <c r="CM57" s="91" t="s">
        <v>232</v>
      </c>
      <c r="CN57" s="10" t="s">
        <v>232</v>
      </c>
      <c r="CO57" s="10" t="s">
        <v>232</v>
      </c>
      <c r="CP57" s="10" t="s">
        <v>232</v>
      </c>
      <c r="CQ57" s="10">
        <v>46002</v>
      </c>
      <c r="CR57" s="10">
        <v>46002</v>
      </c>
      <c r="CS57" s="10">
        <v>46002</v>
      </c>
      <c r="CT57" s="10" t="s">
        <v>232</v>
      </c>
      <c r="CU57" s="11" t="s">
        <v>232</v>
      </c>
      <c r="CV57" s="11"/>
      <c r="CW57" s="11" t="s">
        <v>232</v>
      </c>
      <c r="CX57" s="11" t="s">
        <v>232</v>
      </c>
      <c r="CY57" s="11"/>
      <c r="CZ57" s="11"/>
    </row>
    <row r="58" spans="2:104" ht="79.5" customHeight="1">
      <c r="B58" s="331">
        <v>54</v>
      </c>
      <c r="C58" s="295" t="s">
        <v>410</v>
      </c>
      <c r="D58" s="384" t="s">
        <v>411</v>
      </c>
      <c r="E58" s="384" t="s">
        <v>412</v>
      </c>
      <c r="F58" s="385" t="s">
        <v>413</v>
      </c>
      <c r="G58" s="440" t="s">
        <v>414</v>
      </c>
      <c r="H58" s="290">
        <v>45934</v>
      </c>
      <c r="I58" s="91">
        <f t="shared" si="0"/>
        <v>46663</v>
      </c>
      <c r="J58" s="290">
        <v>45935</v>
      </c>
      <c r="K58" s="91">
        <f t="shared" si="1"/>
        <v>46664</v>
      </c>
      <c r="L58" s="290">
        <v>45936</v>
      </c>
      <c r="M58" s="91">
        <f t="shared" si="2"/>
        <v>46665</v>
      </c>
      <c r="N58" s="10">
        <v>45974</v>
      </c>
      <c r="O58" s="325">
        <v>46703</v>
      </c>
      <c r="P58" s="10">
        <v>45974</v>
      </c>
      <c r="Q58" s="91">
        <f t="shared" si="32"/>
        <v>46703</v>
      </c>
      <c r="R58" s="392">
        <v>45888</v>
      </c>
      <c r="S58" s="91">
        <f>IF(ISBLANK(R58),"",EDATE(R58,24))-1</f>
        <v>46617</v>
      </c>
      <c r="T58" s="325">
        <v>45995</v>
      </c>
      <c r="U58" s="91">
        <f t="shared" si="38"/>
        <v>46724</v>
      </c>
      <c r="V58" s="325">
        <v>45978</v>
      </c>
      <c r="W58" s="91">
        <f t="shared" si="34"/>
        <v>46707</v>
      </c>
      <c r="X58" s="325" t="s">
        <v>231</v>
      </c>
      <c r="Y58" s="325" t="s">
        <v>231</v>
      </c>
      <c r="Z58" s="327">
        <v>45989</v>
      </c>
      <c r="AA58" s="91">
        <f t="shared" si="35"/>
        <v>46718</v>
      </c>
      <c r="AB58" s="91">
        <v>45976</v>
      </c>
      <c r="AC58" s="91">
        <f t="shared" si="36"/>
        <v>46705</v>
      </c>
      <c r="AD58" s="91">
        <v>46000</v>
      </c>
      <c r="AE58" s="91">
        <f t="shared" si="37"/>
        <v>46729</v>
      </c>
      <c r="AF58" s="387">
        <v>45933</v>
      </c>
      <c r="AG58" s="91">
        <f t="shared" si="25"/>
        <v>46662</v>
      </c>
      <c r="AH58" s="388">
        <v>45939</v>
      </c>
      <c r="AI58" s="91">
        <f t="shared" si="23"/>
        <v>46668</v>
      </c>
      <c r="AJ58" s="388">
        <v>45940</v>
      </c>
      <c r="AK58" s="91">
        <f t="shared" si="24"/>
        <v>46669</v>
      </c>
      <c r="AL58" s="393">
        <v>45941</v>
      </c>
      <c r="AM58" s="380">
        <f t="shared" si="27"/>
        <v>46305</v>
      </c>
      <c r="AN58" s="393">
        <v>45942</v>
      </c>
      <c r="AO58" s="91">
        <f t="shared" si="7"/>
        <v>46671</v>
      </c>
      <c r="AP58" s="91" t="s">
        <v>232</v>
      </c>
      <c r="AQ58" s="91" t="e">
        <f t="shared" si="8"/>
        <v>#VALUE!</v>
      </c>
      <c r="AR58" s="238" t="s">
        <v>232</v>
      </c>
      <c r="AS58" s="70" t="e">
        <f t="shared" si="9"/>
        <v>#VALUE!</v>
      </c>
      <c r="AT58" s="10"/>
      <c r="AU58" s="91"/>
      <c r="AV58" s="10"/>
      <c r="AW58" s="91"/>
      <c r="AX58" s="10" t="s">
        <v>232</v>
      </c>
      <c r="AY58" s="10" t="s">
        <v>232</v>
      </c>
      <c r="AZ58" s="10" t="s">
        <v>232</v>
      </c>
      <c r="BA58" s="10" t="s">
        <v>232</v>
      </c>
      <c r="BB58" s="10" t="s">
        <v>232</v>
      </c>
      <c r="BC58" s="10" t="s">
        <v>232</v>
      </c>
      <c r="BD58" s="10">
        <v>45944</v>
      </c>
      <c r="BE58" s="90">
        <f>IF(ISBLANK(BD58),"",EDATE(BD58,24))-1</f>
        <v>46673</v>
      </c>
      <c r="BF58" s="1" t="s">
        <v>232</v>
      </c>
      <c r="BG58" s="1" t="s">
        <v>232</v>
      </c>
      <c r="BH58" s="91" t="s">
        <v>232</v>
      </c>
      <c r="BI58" s="91" t="s">
        <v>232</v>
      </c>
      <c r="BJ58" s="91" t="s">
        <v>232</v>
      </c>
      <c r="BK58" s="91" t="s">
        <v>232</v>
      </c>
      <c r="BL58" s="10" t="s">
        <v>232</v>
      </c>
      <c r="BM58" s="91" t="e">
        <f t="shared" si="10"/>
        <v>#VALUE!</v>
      </c>
      <c r="BN58" s="10" t="s">
        <v>232</v>
      </c>
      <c r="BO58" s="10" t="s">
        <v>232</v>
      </c>
      <c r="BP58" s="10" t="s">
        <v>232</v>
      </c>
      <c r="BQ58" s="10" t="s">
        <v>232</v>
      </c>
      <c r="BR58" s="10" t="s">
        <v>232</v>
      </c>
      <c r="BS58" s="10" t="s">
        <v>232</v>
      </c>
      <c r="BT58" s="10" t="s">
        <v>232</v>
      </c>
      <c r="BU58" s="10">
        <v>45993</v>
      </c>
      <c r="BV58" s="10" t="s">
        <v>232</v>
      </c>
      <c r="BW58" s="10">
        <v>46007</v>
      </c>
      <c r="BX58" s="10" t="s">
        <v>232</v>
      </c>
      <c r="BY58" s="10">
        <v>45992</v>
      </c>
      <c r="BZ58" s="10">
        <v>46013</v>
      </c>
      <c r="CA58" s="10">
        <v>46007</v>
      </c>
      <c r="CB58" s="1" t="s">
        <v>232</v>
      </c>
      <c r="CC58" s="10" t="s">
        <v>232</v>
      </c>
      <c r="CD58" s="17" t="s">
        <v>232</v>
      </c>
      <c r="CE58" s="70" t="s">
        <v>232</v>
      </c>
      <c r="CF58" s="434">
        <v>46015</v>
      </c>
      <c r="CG58" s="70" t="s">
        <v>232</v>
      </c>
      <c r="CH58" s="70" t="s">
        <v>232</v>
      </c>
      <c r="CI58" s="10" t="s">
        <v>232</v>
      </c>
      <c r="CJ58" s="10" t="s">
        <v>232</v>
      </c>
      <c r="CK58" s="91" t="s">
        <v>232</v>
      </c>
      <c r="CL58" s="427" t="s">
        <v>232</v>
      </c>
      <c r="CM58" s="91" t="s">
        <v>232</v>
      </c>
      <c r="CN58" s="10" t="s">
        <v>232</v>
      </c>
      <c r="CO58" s="10" t="s">
        <v>232</v>
      </c>
      <c r="CP58" s="10" t="s">
        <v>232</v>
      </c>
      <c r="CQ58" s="10">
        <v>45945</v>
      </c>
      <c r="CR58" s="10">
        <v>45945</v>
      </c>
      <c r="CS58" s="10">
        <v>45945</v>
      </c>
      <c r="CT58" s="10" t="s">
        <v>232</v>
      </c>
      <c r="CU58" s="11" t="s">
        <v>232</v>
      </c>
      <c r="CV58" s="11"/>
      <c r="CW58" s="11" t="s">
        <v>232</v>
      </c>
      <c r="CX58" s="11" t="s">
        <v>232</v>
      </c>
      <c r="CY58" s="10">
        <v>45953</v>
      </c>
      <c r="CZ58" s="11"/>
    </row>
    <row r="59" spans="2:104" ht="50.25" customHeight="1">
      <c r="B59" s="331">
        <v>55</v>
      </c>
      <c r="C59" s="295" t="s">
        <v>415</v>
      </c>
      <c r="D59" s="384" t="s">
        <v>416</v>
      </c>
      <c r="E59" s="384" t="s">
        <v>417</v>
      </c>
      <c r="F59" s="385" t="s">
        <v>418</v>
      </c>
      <c r="G59" s="440" t="s">
        <v>232</v>
      </c>
      <c r="H59" s="290">
        <v>45934</v>
      </c>
      <c r="I59" s="91">
        <f t="shared" si="0"/>
        <v>46663</v>
      </c>
      <c r="J59" s="290">
        <v>45935</v>
      </c>
      <c r="K59" s="91">
        <f t="shared" si="1"/>
        <v>46664</v>
      </c>
      <c r="L59" s="90">
        <v>46666</v>
      </c>
      <c r="M59" s="91">
        <f t="shared" si="2"/>
        <v>47396</v>
      </c>
      <c r="N59" s="10">
        <v>45974</v>
      </c>
      <c r="O59" s="325">
        <v>46703</v>
      </c>
      <c r="P59" s="10">
        <v>45974</v>
      </c>
      <c r="Q59" s="91">
        <f t="shared" si="32"/>
        <v>46703</v>
      </c>
      <c r="R59" s="392">
        <v>45888</v>
      </c>
      <c r="S59" s="91">
        <f t="shared" si="33"/>
        <v>46617</v>
      </c>
      <c r="T59" s="325">
        <v>45995</v>
      </c>
      <c r="U59" s="91">
        <f t="shared" si="38"/>
        <v>46724</v>
      </c>
      <c r="V59" s="325">
        <v>45978</v>
      </c>
      <c r="W59" s="91">
        <f t="shared" si="34"/>
        <v>46707</v>
      </c>
      <c r="X59" s="17">
        <v>45972</v>
      </c>
      <c r="Y59" s="91">
        <f t="shared" ref="Y59:Y77" si="39">IF(ISBLANK(X59),"",EDATE(X59,24))-1</f>
        <v>46701</v>
      </c>
      <c r="Z59" s="328">
        <v>45989</v>
      </c>
      <c r="AA59" s="91">
        <f t="shared" si="35"/>
        <v>46718</v>
      </c>
      <c r="AB59" s="91">
        <v>45976</v>
      </c>
      <c r="AC59" s="91">
        <f t="shared" si="36"/>
        <v>46705</v>
      </c>
      <c r="AD59" s="91">
        <v>46000</v>
      </c>
      <c r="AE59" s="91">
        <f t="shared" si="37"/>
        <v>46729</v>
      </c>
      <c r="AF59" s="387">
        <v>45933</v>
      </c>
      <c r="AG59" s="91">
        <f t="shared" si="25"/>
        <v>46662</v>
      </c>
      <c r="AH59" s="388">
        <v>45939</v>
      </c>
      <c r="AI59" s="91">
        <f t="shared" si="23"/>
        <v>46668</v>
      </c>
      <c r="AJ59" s="388">
        <v>45940</v>
      </c>
      <c r="AK59" s="91">
        <f t="shared" si="24"/>
        <v>46669</v>
      </c>
      <c r="AL59" s="393">
        <v>45941</v>
      </c>
      <c r="AM59" s="380">
        <f t="shared" si="27"/>
        <v>46305</v>
      </c>
      <c r="AN59" s="393">
        <v>45942</v>
      </c>
      <c r="AO59" s="91">
        <f t="shared" si="7"/>
        <v>46671</v>
      </c>
      <c r="AP59" s="91" t="s">
        <v>232</v>
      </c>
      <c r="AQ59" s="91" t="e">
        <f t="shared" si="8"/>
        <v>#VALUE!</v>
      </c>
      <c r="AR59" s="238" t="s">
        <v>232</v>
      </c>
      <c r="AS59" s="91" t="e">
        <f t="shared" si="9"/>
        <v>#VALUE!</v>
      </c>
      <c r="AT59" s="10"/>
      <c r="AU59" s="10"/>
      <c r="AV59" s="10"/>
      <c r="AW59" s="10"/>
      <c r="AX59" s="10" t="s">
        <v>232</v>
      </c>
      <c r="AY59" s="10" t="s">
        <v>232</v>
      </c>
      <c r="AZ59" s="10" t="s">
        <v>232</v>
      </c>
      <c r="BA59" s="10" t="s">
        <v>232</v>
      </c>
      <c r="BB59" s="10" t="s">
        <v>232</v>
      </c>
      <c r="BC59" s="10" t="s">
        <v>232</v>
      </c>
      <c r="BD59" s="10" t="s">
        <v>232</v>
      </c>
      <c r="BE59" s="10" t="s">
        <v>232</v>
      </c>
      <c r="BF59" s="1" t="s">
        <v>232</v>
      </c>
      <c r="BG59" s="1" t="s">
        <v>232</v>
      </c>
      <c r="BH59" s="91" t="s">
        <v>232</v>
      </c>
      <c r="BI59" s="91" t="s">
        <v>232</v>
      </c>
      <c r="BJ59" s="91" t="s">
        <v>232</v>
      </c>
      <c r="BK59" s="91" t="s">
        <v>232</v>
      </c>
      <c r="BL59" s="10" t="s">
        <v>232</v>
      </c>
      <c r="BM59" s="91" t="e">
        <f t="shared" si="10"/>
        <v>#VALUE!</v>
      </c>
      <c r="BN59" s="10" t="s">
        <v>232</v>
      </c>
      <c r="BO59" s="10" t="s">
        <v>232</v>
      </c>
      <c r="BP59" s="10" t="s">
        <v>232</v>
      </c>
      <c r="BQ59" s="10" t="s">
        <v>232</v>
      </c>
      <c r="BR59" s="10" t="s">
        <v>232</v>
      </c>
      <c r="BS59" s="10" t="s">
        <v>232</v>
      </c>
      <c r="BT59" s="10" t="s">
        <v>232</v>
      </c>
      <c r="BU59" s="10">
        <v>45993</v>
      </c>
      <c r="BV59" s="10" t="s">
        <v>232</v>
      </c>
      <c r="BW59" s="10">
        <v>46007</v>
      </c>
      <c r="BX59" s="10">
        <v>45910</v>
      </c>
      <c r="BY59" s="10">
        <v>45992</v>
      </c>
      <c r="BZ59" s="10" t="s">
        <v>232</v>
      </c>
      <c r="CA59" s="10">
        <v>46007</v>
      </c>
      <c r="CB59" s="1" t="s">
        <v>232</v>
      </c>
      <c r="CC59" s="10" t="s">
        <v>232</v>
      </c>
      <c r="CD59" s="10" t="s">
        <v>232</v>
      </c>
      <c r="CE59" s="70" t="s">
        <v>232</v>
      </c>
      <c r="CF59" s="70" t="s">
        <v>232</v>
      </c>
      <c r="CG59" s="70" t="s">
        <v>232</v>
      </c>
      <c r="CH59" s="70" t="s">
        <v>232</v>
      </c>
      <c r="CI59" s="10" t="s">
        <v>232</v>
      </c>
      <c r="CJ59" s="10" t="s">
        <v>232</v>
      </c>
      <c r="CK59" s="91" t="s">
        <v>232</v>
      </c>
      <c r="CL59" s="11" t="s">
        <v>232</v>
      </c>
      <c r="CM59" s="91" t="s">
        <v>232</v>
      </c>
      <c r="CN59" s="10" t="s">
        <v>232</v>
      </c>
      <c r="CO59" s="10" t="s">
        <v>232</v>
      </c>
      <c r="CP59" s="10" t="s">
        <v>232</v>
      </c>
      <c r="CQ59" s="10">
        <v>46002</v>
      </c>
      <c r="CR59" s="10">
        <v>46002</v>
      </c>
      <c r="CS59" s="10">
        <v>46002</v>
      </c>
      <c r="CT59" s="10" t="s">
        <v>232</v>
      </c>
      <c r="CU59" s="11" t="s">
        <v>232</v>
      </c>
      <c r="CV59" s="11"/>
      <c r="CW59" s="11" t="s">
        <v>232</v>
      </c>
      <c r="CX59" s="11" t="s">
        <v>232</v>
      </c>
      <c r="CY59" s="11"/>
      <c r="CZ59" s="11"/>
    </row>
    <row r="60" spans="2:104" ht="50.25" customHeight="1">
      <c r="B60" s="331">
        <v>56</v>
      </c>
      <c r="C60" s="295" t="s">
        <v>419</v>
      </c>
      <c r="D60" s="384" t="s">
        <v>420</v>
      </c>
      <c r="E60" s="384" t="s">
        <v>421</v>
      </c>
      <c r="F60" s="385" t="s">
        <v>422</v>
      </c>
      <c r="G60" s="440"/>
      <c r="H60" s="290">
        <v>45934</v>
      </c>
      <c r="I60" s="91">
        <f t="shared" si="0"/>
        <v>46663</v>
      </c>
      <c r="J60" s="290">
        <v>45935</v>
      </c>
      <c r="K60" s="91">
        <f t="shared" si="1"/>
        <v>46664</v>
      </c>
      <c r="L60" s="90">
        <v>46666</v>
      </c>
      <c r="M60" s="91">
        <f t="shared" si="2"/>
        <v>47396</v>
      </c>
      <c r="N60" s="10">
        <v>45974</v>
      </c>
      <c r="O60" s="10">
        <v>46703</v>
      </c>
      <c r="P60" s="10">
        <v>45974</v>
      </c>
      <c r="Q60" s="91">
        <f t="shared" si="32"/>
        <v>46703</v>
      </c>
      <c r="R60" s="18"/>
      <c r="S60" s="18"/>
      <c r="T60" s="325">
        <v>45995</v>
      </c>
      <c r="U60" s="91">
        <f t="shared" si="38"/>
        <v>46724</v>
      </c>
      <c r="V60" s="325">
        <v>45978</v>
      </c>
      <c r="W60" s="91">
        <f t="shared" si="34"/>
        <v>46707</v>
      </c>
      <c r="X60" s="17">
        <v>45972</v>
      </c>
      <c r="Y60" s="91">
        <f t="shared" si="39"/>
        <v>46701</v>
      </c>
      <c r="Z60" s="328">
        <v>45989</v>
      </c>
      <c r="AA60" s="91">
        <f t="shared" si="35"/>
        <v>46718</v>
      </c>
      <c r="AB60" s="91">
        <v>45976</v>
      </c>
      <c r="AC60" s="91">
        <f t="shared" si="36"/>
        <v>46705</v>
      </c>
      <c r="AD60" s="91">
        <v>46000</v>
      </c>
      <c r="AE60" s="91">
        <f t="shared" si="37"/>
        <v>46729</v>
      </c>
      <c r="AF60" s="387"/>
      <c r="AG60" s="91" t="e">
        <f t="shared" si="25"/>
        <v>#VALUE!</v>
      </c>
      <c r="AH60" s="388"/>
      <c r="AI60" s="91" t="e">
        <f t="shared" si="23"/>
        <v>#VALUE!</v>
      </c>
      <c r="AJ60" s="388"/>
      <c r="AK60" s="91" t="e">
        <f t="shared" si="24"/>
        <v>#VALUE!</v>
      </c>
      <c r="AL60" s="395"/>
      <c r="AM60" s="396"/>
      <c r="AN60" s="395"/>
      <c r="AO60" s="91" t="e">
        <f t="shared" si="7"/>
        <v>#VALUE!</v>
      </c>
      <c r="AP60" s="91"/>
      <c r="AQ60" s="91" t="e">
        <f t="shared" si="8"/>
        <v>#VALUE!</v>
      </c>
      <c r="AR60" s="238"/>
      <c r="AS60" s="91" t="e">
        <f t="shared" si="9"/>
        <v>#VALUE!</v>
      </c>
      <c r="AT60" s="10"/>
      <c r="AU60" s="91"/>
      <c r="AV60" s="10"/>
      <c r="AW60" s="91"/>
      <c r="AX60" s="10"/>
      <c r="AY60" s="10"/>
      <c r="AZ60" s="10"/>
      <c r="BA60" s="10"/>
      <c r="BB60" s="10"/>
      <c r="BC60" s="10"/>
      <c r="BD60" s="10"/>
      <c r="BE60" s="10"/>
      <c r="BF60" s="1"/>
      <c r="BG60" s="1"/>
      <c r="BH60" s="91"/>
      <c r="BI60" s="91"/>
      <c r="BJ60" s="91"/>
      <c r="BK60" s="91"/>
      <c r="BL60" s="10"/>
      <c r="BM60" s="91" t="e">
        <f t="shared" si="10"/>
        <v>#VALUE!</v>
      </c>
      <c r="BN60" s="10"/>
      <c r="BO60" s="10"/>
      <c r="BP60" s="10"/>
      <c r="BQ60" s="10"/>
      <c r="BR60" s="10"/>
      <c r="BS60" s="10"/>
      <c r="BT60" s="10"/>
      <c r="BU60" s="10">
        <v>45993</v>
      </c>
      <c r="BV60" s="10"/>
      <c r="BW60" s="10">
        <v>46007</v>
      </c>
      <c r="BX60" s="10"/>
      <c r="BY60" s="10">
        <v>45992</v>
      </c>
      <c r="BZ60" s="10">
        <v>46013</v>
      </c>
      <c r="CA60" s="10">
        <v>46007</v>
      </c>
      <c r="CB60" s="397"/>
      <c r="CC60" s="10"/>
      <c r="CD60" s="10"/>
      <c r="CE60" s="314"/>
      <c r="CF60" s="434">
        <v>46015</v>
      </c>
      <c r="CG60" s="314"/>
      <c r="CH60" s="209"/>
      <c r="CI60" s="91">
        <v>46049</v>
      </c>
      <c r="CJ60" s="10"/>
      <c r="CK60" s="91"/>
      <c r="CL60" s="11"/>
      <c r="CM60" s="91"/>
      <c r="CN60" s="10"/>
      <c r="CO60" s="10"/>
      <c r="CP60" s="10"/>
      <c r="CQ60" s="10">
        <v>46002</v>
      </c>
      <c r="CR60" s="10">
        <v>46002</v>
      </c>
      <c r="CS60" s="10">
        <v>46002</v>
      </c>
      <c r="CT60" s="10"/>
      <c r="CU60" s="11"/>
      <c r="CV60" s="11">
        <v>46070</v>
      </c>
      <c r="CW60" s="11"/>
      <c r="CX60" s="11"/>
      <c r="CY60" s="11"/>
      <c r="CZ60" s="11"/>
    </row>
    <row r="61" spans="2:104" ht="50.25" customHeight="1">
      <c r="B61" s="331">
        <v>57</v>
      </c>
      <c r="C61" s="295" t="s">
        <v>423</v>
      </c>
      <c r="D61" s="384" t="s">
        <v>424</v>
      </c>
      <c r="E61" s="384" t="s">
        <v>425</v>
      </c>
      <c r="F61" s="385" t="s">
        <v>239</v>
      </c>
      <c r="G61" s="444" t="s">
        <v>426</v>
      </c>
      <c r="H61" s="290">
        <v>45934</v>
      </c>
      <c r="I61" s="91">
        <f t="shared" si="0"/>
        <v>46663</v>
      </c>
      <c r="J61" s="290">
        <v>45935</v>
      </c>
      <c r="K61" s="91">
        <f t="shared" si="1"/>
        <v>46664</v>
      </c>
      <c r="L61" s="290">
        <v>45936</v>
      </c>
      <c r="M61" s="91">
        <f t="shared" si="2"/>
        <v>46665</v>
      </c>
      <c r="N61" s="10">
        <v>45974</v>
      </c>
      <c r="O61" s="325">
        <v>46703</v>
      </c>
      <c r="P61" s="10">
        <v>45974</v>
      </c>
      <c r="Q61" s="91">
        <f t="shared" si="32"/>
        <v>46703</v>
      </c>
      <c r="R61" s="392" t="s">
        <v>232</v>
      </c>
      <c r="S61" s="392" t="s">
        <v>232</v>
      </c>
      <c r="T61" s="325">
        <v>45995</v>
      </c>
      <c r="U61" s="91">
        <f t="shared" si="38"/>
        <v>46724</v>
      </c>
      <c r="V61" s="325">
        <v>45978</v>
      </c>
      <c r="W61" s="91">
        <f t="shared" si="34"/>
        <v>46707</v>
      </c>
      <c r="X61" s="17">
        <v>45972</v>
      </c>
      <c r="Y61" s="91">
        <f t="shared" si="39"/>
        <v>46701</v>
      </c>
      <c r="Z61" s="328">
        <v>45989</v>
      </c>
      <c r="AA61" s="91">
        <f t="shared" si="35"/>
        <v>46718</v>
      </c>
      <c r="AB61" s="91">
        <v>45976</v>
      </c>
      <c r="AC61" s="91">
        <f t="shared" si="36"/>
        <v>46705</v>
      </c>
      <c r="AD61" s="91">
        <v>45998</v>
      </c>
      <c r="AE61" s="91">
        <f t="shared" si="37"/>
        <v>46727</v>
      </c>
      <c r="AF61" s="387">
        <v>45933</v>
      </c>
      <c r="AG61" s="91">
        <f t="shared" si="25"/>
        <v>46662</v>
      </c>
      <c r="AH61" s="388">
        <v>45939</v>
      </c>
      <c r="AI61" s="91">
        <f t="shared" si="23"/>
        <v>46668</v>
      </c>
      <c r="AJ61" s="388">
        <v>45940</v>
      </c>
      <c r="AK61" s="91">
        <f t="shared" si="24"/>
        <v>46669</v>
      </c>
      <c r="AL61" s="393">
        <v>45941</v>
      </c>
      <c r="AM61" s="380">
        <f t="shared" ref="AM61:AM67" si="40">IF(ISBLANK(AL61),"",EDATE(AL61,12))-1</f>
        <v>46305</v>
      </c>
      <c r="AN61" s="393">
        <v>45942</v>
      </c>
      <c r="AO61" s="91">
        <f t="shared" si="7"/>
        <v>46671</v>
      </c>
      <c r="AP61" s="317" t="s">
        <v>232</v>
      </c>
      <c r="AQ61" s="91" t="e">
        <f t="shared" si="8"/>
        <v>#VALUE!</v>
      </c>
      <c r="AR61" s="398" t="s">
        <v>232</v>
      </c>
      <c r="AS61" s="91" t="e">
        <f t="shared" si="9"/>
        <v>#VALUE!</v>
      </c>
      <c r="AT61" s="10"/>
      <c r="AU61" s="91"/>
      <c r="AV61" s="10"/>
      <c r="AW61" s="91"/>
      <c r="AX61" s="10">
        <v>46014</v>
      </c>
      <c r="AY61" s="10">
        <v>46743</v>
      </c>
      <c r="AZ61" s="11" t="s">
        <v>232</v>
      </c>
      <c r="BA61" s="11" t="s">
        <v>232</v>
      </c>
      <c r="BB61" s="11" t="s">
        <v>232</v>
      </c>
      <c r="BC61" s="11" t="s">
        <v>232</v>
      </c>
      <c r="BD61" s="11" t="s">
        <v>232</v>
      </c>
      <c r="BE61" s="11" t="s">
        <v>232</v>
      </c>
      <c r="BF61" s="399" t="s">
        <v>232</v>
      </c>
      <c r="BG61" s="399" t="s">
        <v>232</v>
      </c>
      <c r="BH61" s="317" t="s">
        <v>232</v>
      </c>
      <c r="BI61" s="317" t="s">
        <v>232</v>
      </c>
      <c r="BJ61" s="317" t="s">
        <v>232</v>
      </c>
      <c r="BK61" s="317" t="s">
        <v>232</v>
      </c>
      <c r="BL61" s="11" t="s">
        <v>232</v>
      </c>
      <c r="BM61" s="417" t="e">
        <f t="shared" si="10"/>
        <v>#VALUE!</v>
      </c>
      <c r="BN61" s="11" t="s">
        <v>232</v>
      </c>
      <c r="BO61" s="11" t="s">
        <v>232</v>
      </c>
      <c r="BP61" s="11" t="s">
        <v>232</v>
      </c>
      <c r="BQ61" s="11" t="s">
        <v>232</v>
      </c>
      <c r="BR61" s="11" t="s">
        <v>232</v>
      </c>
      <c r="BS61" s="11" t="s">
        <v>232</v>
      </c>
      <c r="BT61" s="11" t="s">
        <v>232</v>
      </c>
      <c r="BU61" s="10">
        <v>45993</v>
      </c>
      <c r="BV61" s="11" t="s">
        <v>232</v>
      </c>
      <c r="BW61" s="10">
        <v>46007</v>
      </c>
      <c r="BX61" s="11" t="s">
        <v>232</v>
      </c>
      <c r="BY61" s="10">
        <v>45992</v>
      </c>
      <c r="BZ61" s="10">
        <v>46013</v>
      </c>
      <c r="CA61" s="10">
        <v>46007</v>
      </c>
      <c r="CB61" s="399" t="s">
        <v>232</v>
      </c>
      <c r="CC61" s="10">
        <v>46006</v>
      </c>
      <c r="CD61" s="11" t="s">
        <v>232</v>
      </c>
      <c r="CE61" s="70" t="s">
        <v>232</v>
      </c>
      <c r="CF61" s="434">
        <v>46015</v>
      </c>
      <c r="CG61" s="70" t="s">
        <v>232</v>
      </c>
      <c r="CH61" s="70" t="s">
        <v>232</v>
      </c>
      <c r="CI61" s="91">
        <v>46049</v>
      </c>
      <c r="CJ61" s="11" t="s">
        <v>232</v>
      </c>
      <c r="CK61" s="317" t="s">
        <v>232</v>
      </c>
      <c r="CL61" s="11" t="s">
        <v>232</v>
      </c>
      <c r="CM61" s="317" t="s">
        <v>232</v>
      </c>
      <c r="CN61" s="11" t="s">
        <v>232</v>
      </c>
      <c r="CO61" s="11" t="s">
        <v>232</v>
      </c>
      <c r="CP61" s="11" t="s">
        <v>232</v>
      </c>
      <c r="CQ61" s="10">
        <v>46002</v>
      </c>
      <c r="CR61" s="10">
        <v>46002</v>
      </c>
      <c r="CS61" s="10">
        <v>46002</v>
      </c>
      <c r="CT61" s="11" t="s">
        <v>232</v>
      </c>
      <c r="CU61" s="11" t="s">
        <v>232</v>
      </c>
      <c r="CV61" s="11">
        <v>46070</v>
      </c>
      <c r="CW61" s="11" t="s">
        <v>232</v>
      </c>
      <c r="CX61" s="11" t="s">
        <v>232</v>
      </c>
      <c r="CY61" s="11"/>
      <c r="CZ61" s="10">
        <v>46017</v>
      </c>
    </row>
    <row r="62" spans="2:104" ht="50.25" customHeight="1">
      <c r="B62" s="331">
        <v>58</v>
      </c>
      <c r="C62" s="295" t="s">
        <v>427</v>
      </c>
      <c r="D62" s="384" t="s">
        <v>428</v>
      </c>
      <c r="E62" s="384" t="s">
        <v>429</v>
      </c>
      <c r="F62" s="385" t="s">
        <v>430</v>
      </c>
      <c r="G62" s="440" t="s">
        <v>232</v>
      </c>
      <c r="H62" s="290">
        <v>45934</v>
      </c>
      <c r="I62" s="91">
        <f t="shared" si="0"/>
        <v>46663</v>
      </c>
      <c r="J62" s="290">
        <v>45935</v>
      </c>
      <c r="K62" s="91">
        <f t="shared" si="1"/>
        <v>46664</v>
      </c>
      <c r="L62" s="290">
        <v>45936</v>
      </c>
      <c r="M62" s="91">
        <f t="shared" si="2"/>
        <v>46665</v>
      </c>
      <c r="N62" s="10">
        <v>45974</v>
      </c>
      <c r="O62" s="325">
        <v>46703</v>
      </c>
      <c r="P62" s="10">
        <v>45974</v>
      </c>
      <c r="Q62" s="91">
        <f t="shared" si="32"/>
        <v>46703</v>
      </c>
      <c r="R62" s="325" t="s">
        <v>232</v>
      </c>
      <c r="S62" s="325" t="s">
        <v>232</v>
      </c>
      <c r="T62" s="325">
        <v>45995</v>
      </c>
      <c r="U62" s="91">
        <f t="shared" si="38"/>
        <v>46724</v>
      </c>
      <c r="V62" s="325">
        <v>45978</v>
      </c>
      <c r="W62" s="91">
        <f t="shared" si="34"/>
        <v>46707</v>
      </c>
      <c r="X62" s="17">
        <v>45972</v>
      </c>
      <c r="Y62" s="91">
        <f t="shared" si="39"/>
        <v>46701</v>
      </c>
      <c r="Z62" s="328">
        <v>45989</v>
      </c>
      <c r="AA62" s="91">
        <f t="shared" si="35"/>
        <v>46718</v>
      </c>
      <c r="AB62" s="91">
        <v>45976</v>
      </c>
      <c r="AC62" s="91">
        <f t="shared" si="36"/>
        <v>46705</v>
      </c>
      <c r="AD62" s="91">
        <v>46000</v>
      </c>
      <c r="AE62" s="91">
        <f t="shared" si="37"/>
        <v>46729</v>
      </c>
      <c r="AF62" s="387">
        <v>45933</v>
      </c>
      <c r="AG62" s="91">
        <f t="shared" si="25"/>
        <v>46662</v>
      </c>
      <c r="AH62" s="388">
        <v>45939</v>
      </c>
      <c r="AI62" s="91">
        <f t="shared" si="23"/>
        <v>46668</v>
      </c>
      <c r="AJ62" s="388">
        <v>45940</v>
      </c>
      <c r="AK62" s="91">
        <f t="shared" si="24"/>
        <v>46669</v>
      </c>
      <c r="AL62" s="393">
        <v>45941</v>
      </c>
      <c r="AM62" s="380">
        <f t="shared" si="40"/>
        <v>46305</v>
      </c>
      <c r="AN62" s="393">
        <v>45942</v>
      </c>
      <c r="AO62" s="91">
        <f t="shared" si="7"/>
        <v>46671</v>
      </c>
      <c r="AP62" s="91" t="s">
        <v>232</v>
      </c>
      <c r="AQ62" s="91" t="e">
        <f t="shared" si="8"/>
        <v>#VALUE!</v>
      </c>
      <c r="AR62" s="238" t="s">
        <v>232</v>
      </c>
      <c r="AS62" s="91" t="e">
        <f t="shared" si="9"/>
        <v>#VALUE!</v>
      </c>
      <c r="AT62" s="10"/>
      <c r="AU62" s="10"/>
      <c r="AV62" s="10"/>
      <c r="AW62" s="10"/>
      <c r="AX62" s="10" t="s">
        <v>232</v>
      </c>
      <c r="AY62" s="10" t="s">
        <v>232</v>
      </c>
      <c r="AZ62" s="10" t="s">
        <v>232</v>
      </c>
      <c r="BA62" s="10" t="s">
        <v>232</v>
      </c>
      <c r="BB62" s="10" t="s">
        <v>232</v>
      </c>
      <c r="BC62" s="10" t="s">
        <v>232</v>
      </c>
      <c r="BD62" s="10" t="s">
        <v>232</v>
      </c>
      <c r="BE62" s="10" t="s">
        <v>232</v>
      </c>
      <c r="BF62" s="1" t="s">
        <v>232</v>
      </c>
      <c r="BG62" s="1" t="s">
        <v>232</v>
      </c>
      <c r="BH62" s="91" t="s">
        <v>232</v>
      </c>
      <c r="BI62" s="91" t="s">
        <v>232</v>
      </c>
      <c r="BJ62" s="91" t="s">
        <v>232</v>
      </c>
      <c r="BK62" s="91" t="s">
        <v>232</v>
      </c>
      <c r="BL62" s="10" t="s">
        <v>232</v>
      </c>
      <c r="BM62" s="91" t="e">
        <f t="shared" si="10"/>
        <v>#VALUE!</v>
      </c>
      <c r="BN62" s="10" t="s">
        <v>232</v>
      </c>
      <c r="BO62" s="10" t="s">
        <v>232</v>
      </c>
      <c r="BP62" s="10" t="s">
        <v>232</v>
      </c>
      <c r="BQ62" s="10" t="s">
        <v>232</v>
      </c>
      <c r="BR62" s="10" t="s">
        <v>232</v>
      </c>
      <c r="BS62" s="10" t="s">
        <v>232</v>
      </c>
      <c r="BT62" s="10" t="s">
        <v>232</v>
      </c>
      <c r="BU62" s="10">
        <v>45993</v>
      </c>
      <c r="BV62" s="10" t="s">
        <v>232</v>
      </c>
      <c r="BW62" s="10">
        <v>46007</v>
      </c>
      <c r="BX62" s="10">
        <v>45910</v>
      </c>
      <c r="BY62" s="10">
        <v>45992</v>
      </c>
      <c r="BZ62" s="10">
        <v>46013</v>
      </c>
      <c r="CA62" s="10">
        <v>46007</v>
      </c>
      <c r="CB62" s="1" t="s">
        <v>232</v>
      </c>
      <c r="CC62" s="10" t="s">
        <v>232</v>
      </c>
      <c r="CD62" s="10" t="s">
        <v>232</v>
      </c>
      <c r="CE62" s="70" t="s">
        <v>232</v>
      </c>
      <c r="CF62" s="70" t="s">
        <v>232</v>
      </c>
      <c r="CG62" s="70" t="s">
        <v>232</v>
      </c>
      <c r="CH62" s="70" t="s">
        <v>232</v>
      </c>
      <c r="CI62" s="10" t="s">
        <v>232</v>
      </c>
      <c r="CJ62" s="10" t="s">
        <v>232</v>
      </c>
      <c r="CK62" s="91" t="s">
        <v>232</v>
      </c>
      <c r="CL62" s="11" t="s">
        <v>232</v>
      </c>
      <c r="CM62" s="91" t="s">
        <v>232</v>
      </c>
      <c r="CN62" s="10" t="s">
        <v>232</v>
      </c>
      <c r="CO62" s="10" t="s">
        <v>232</v>
      </c>
      <c r="CP62" s="10" t="s">
        <v>232</v>
      </c>
      <c r="CQ62" s="10">
        <v>46002</v>
      </c>
      <c r="CR62" s="10">
        <v>46002</v>
      </c>
      <c r="CS62" s="10">
        <v>46002</v>
      </c>
      <c r="CT62" s="10" t="s">
        <v>232</v>
      </c>
      <c r="CU62" s="10" t="s">
        <v>232</v>
      </c>
      <c r="CV62" s="10"/>
      <c r="CW62" s="11" t="s">
        <v>232</v>
      </c>
      <c r="CX62" s="11" t="s">
        <v>232</v>
      </c>
      <c r="CY62" s="11"/>
      <c r="CZ62" s="11"/>
    </row>
    <row r="63" spans="2:104" ht="50.25" customHeight="1">
      <c r="B63" s="331">
        <v>59</v>
      </c>
      <c r="C63" s="295" t="s">
        <v>431</v>
      </c>
      <c r="D63" s="384" t="s">
        <v>251</v>
      </c>
      <c r="E63" s="384" t="s">
        <v>432</v>
      </c>
      <c r="F63" s="385" t="s">
        <v>422</v>
      </c>
      <c r="G63" s="444" t="s">
        <v>433</v>
      </c>
      <c r="H63" s="290">
        <v>45934</v>
      </c>
      <c r="I63" s="91">
        <f t="shared" si="0"/>
        <v>46663</v>
      </c>
      <c r="J63" s="290">
        <v>45935</v>
      </c>
      <c r="K63" s="91">
        <f t="shared" si="1"/>
        <v>46664</v>
      </c>
      <c r="L63" s="290">
        <v>45936</v>
      </c>
      <c r="M63" s="91">
        <f t="shared" si="2"/>
        <v>46665</v>
      </c>
      <c r="N63" s="10">
        <v>45974</v>
      </c>
      <c r="O63" s="325">
        <v>46703</v>
      </c>
      <c r="P63" s="10">
        <v>45974</v>
      </c>
      <c r="Q63" s="91">
        <f t="shared" si="32"/>
        <v>46703</v>
      </c>
      <c r="R63" s="392" t="s">
        <v>232</v>
      </c>
      <c r="S63" s="392" t="s">
        <v>232</v>
      </c>
      <c r="T63" s="325">
        <v>45995</v>
      </c>
      <c r="U63" s="91">
        <f t="shared" si="38"/>
        <v>46724</v>
      </c>
      <c r="V63" s="325">
        <v>45978</v>
      </c>
      <c r="W63" s="91">
        <f t="shared" si="34"/>
        <v>46707</v>
      </c>
      <c r="X63" s="17">
        <v>45972</v>
      </c>
      <c r="Y63" s="91">
        <f t="shared" si="39"/>
        <v>46701</v>
      </c>
      <c r="Z63" s="328">
        <v>45989</v>
      </c>
      <c r="AA63" s="91">
        <f t="shared" si="35"/>
        <v>46718</v>
      </c>
      <c r="AB63" s="91">
        <v>45976</v>
      </c>
      <c r="AC63" s="91">
        <f t="shared" si="36"/>
        <v>46705</v>
      </c>
      <c r="AD63" s="91">
        <v>45998</v>
      </c>
      <c r="AE63" s="91">
        <f t="shared" si="37"/>
        <v>46727</v>
      </c>
      <c r="AF63" s="387">
        <v>45933</v>
      </c>
      <c r="AG63" s="91">
        <f t="shared" si="25"/>
        <v>46662</v>
      </c>
      <c r="AH63" s="388">
        <v>45939</v>
      </c>
      <c r="AI63" s="91">
        <f t="shared" si="23"/>
        <v>46668</v>
      </c>
      <c r="AJ63" s="388">
        <v>45940</v>
      </c>
      <c r="AK63" s="91">
        <f t="shared" si="24"/>
        <v>46669</v>
      </c>
      <c r="AL63" s="393">
        <v>45941</v>
      </c>
      <c r="AM63" s="380">
        <f t="shared" si="40"/>
        <v>46305</v>
      </c>
      <c r="AN63" s="393">
        <v>45942</v>
      </c>
      <c r="AO63" s="91">
        <f t="shared" si="7"/>
        <v>46671</v>
      </c>
      <c r="AP63" s="317" t="s">
        <v>232</v>
      </c>
      <c r="AQ63" s="91" t="e">
        <f t="shared" si="8"/>
        <v>#VALUE!</v>
      </c>
      <c r="AR63" s="398" t="s">
        <v>232</v>
      </c>
      <c r="AS63" s="91" t="e">
        <f t="shared" si="9"/>
        <v>#VALUE!</v>
      </c>
      <c r="AT63" s="10"/>
      <c r="AU63" s="91"/>
      <c r="AV63" s="10"/>
      <c r="AW63" s="91"/>
      <c r="AX63" s="10">
        <v>46014</v>
      </c>
      <c r="AY63" s="10">
        <v>46743</v>
      </c>
      <c r="AZ63" s="11" t="s">
        <v>232</v>
      </c>
      <c r="BA63" s="11" t="s">
        <v>232</v>
      </c>
      <c r="BB63" s="11" t="s">
        <v>232</v>
      </c>
      <c r="BC63" s="11" t="s">
        <v>232</v>
      </c>
      <c r="BD63" s="11" t="s">
        <v>232</v>
      </c>
      <c r="BE63" s="11" t="s">
        <v>232</v>
      </c>
      <c r="BF63" s="399" t="s">
        <v>232</v>
      </c>
      <c r="BG63" s="399" t="s">
        <v>232</v>
      </c>
      <c r="BH63" s="317" t="s">
        <v>232</v>
      </c>
      <c r="BI63" s="317" t="s">
        <v>232</v>
      </c>
      <c r="BJ63" s="317" t="s">
        <v>232</v>
      </c>
      <c r="BK63" s="317" t="s">
        <v>232</v>
      </c>
      <c r="BL63" s="11" t="s">
        <v>232</v>
      </c>
      <c r="BM63" s="417" t="e">
        <f t="shared" si="10"/>
        <v>#VALUE!</v>
      </c>
      <c r="BN63" s="11" t="s">
        <v>232</v>
      </c>
      <c r="BO63" s="11" t="s">
        <v>232</v>
      </c>
      <c r="BP63" s="11" t="s">
        <v>232</v>
      </c>
      <c r="BQ63" s="11" t="s">
        <v>232</v>
      </c>
      <c r="BR63" s="11" t="s">
        <v>232</v>
      </c>
      <c r="BS63" s="11" t="s">
        <v>232</v>
      </c>
      <c r="BT63" s="11" t="s">
        <v>232</v>
      </c>
      <c r="BU63" s="10">
        <v>45993</v>
      </c>
      <c r="BV63" s="11" t="s">
        <v>232</v>
      </c>
      <c r="BW63" s="10">
        <v>46007</v>
      </c>
      <c r="BX63" s="11" t="s">
        <v>232</v>
      </c>
      <c r="BY63" s="10">
        <v>45992</v>
      </c>
      <c r="BZ63" s="10">
        <v>46013</v>
      </c>
      <c r="CA63" s="10">
        <v>46007</v>
      </c>
      <c r="CB63" s="399" t="s">
        <v>232</v>
      </c>
      <c r="CC63" s="10">
        <v>46006</v>
      </c>
      <c r="CD63" s="11" t="s">
        <v>232</v>
      </c>
      <c r="CE63" s="70" t="s">
        <v>232</v>
      </c>
      <c r="CF63" s="434">
        <v>46015</v>
      </c>
      <c r="CG63" s="70" t="s">
        <v>232</v>
      </c>
      <c r="CH63" s="70" t="s">
        <v>232</v>
      </c>
      <c r="CI63" s="91">
        <v>46049</v>
      </c>
      <c r="CJ63" s="11" t="s">
        <v>232</v>
      </c>
      <c r="CK63" s="317" t="s">
        <v>232</v>
      </c>
      <c r="CL63" s="427" t="s">
        <v>232</v>
      </c>
      <c r="CM63" s="317" t="s">
        <v>232</v>
      </c>
      <c r="CN63" s="11" t="s">
        <v>232</v>
      </c>
      <c r="CO63" s="11" t="s">
        <v>232</v>
      </c>
      <c r="CP63" s="11" t="s">
        <v>232</v>
      </c>
      <c r="CQ63" s="10">
        <v>46002</v>
      </c>
      <c r="CR63" s="10">
        <v>46002</v>
      </c>
      <c r="CS63" s="10">
        <v>46002</v>
      </c>
      <c r="CT63" s="11" t="s">
        <v>232</v>
      </c>
      <c r="CU63" s="11" t="s">
        <v>232</v>
      </c>
      <c r="CV63" s="11">
        <v>46070</v>
      </c>
      <c r="CW63" s="11" t="s">
        <v>232</v>
      </c>
      <c r="CX63" s="11" t="s">
        <v>232</v>
      </c>
      <c r="CY63" s="10">
        <v>45953</v>
      </c>
      <c r="CZ63" s="10">
        <v>46017</v>
      </c>
    </row>
    <row r="64" spans="2:104" ht="50.25" customHeight="1">
      <c r="B64" s="331">
        <v>60</v>
      </c>
      <c r="C64" s="295" t="s">
        <v>434</v>
      </c>
      <c r="D64" s="384" t="s">
        <v>435</v>
      </c>
      <c r="E64" s="384" t="s">
        <v>436</v>
      </c>
      <c r="F64" s="385" t="s">
        <v>437</v>
      </c>
      <c r="G64" s="444"/>
      <c r="H64" s="290">
        <v>46062</v>
      </c>
      <c r="I64" s="91">
        <f t="shared" si="0"/>
        <v>46791</v>
      </c>
      <c r="J64" s="290">
        <v>46028</v>
      </c>
      <c r="K64" s="91">
        <f t="shared" si="1"/>
        <v>46757</v>
      </c>
      <c r="L64" s="319">
        <v>46058</v>
      </c>
      <c r="M64" s="91">
        <f t="shared" si="2"/>
        <v>46787</v>
      </c>
      <c r="N64" s="10">
        <v>45974</v>
      </c>
      <c r="O64" s="325">
        <v>46703</v>
      </c>
      <c r="P64" s="10">
        <v>45974</v>
      </c>
      <c r="Q64" s="91">
        <f t="shared" si="32"/>
        <v>46703</v>
      </c>
      <c r="R64" s="18">
        <v>45966</v>
      </c>
      <c r="S64" s="18">
        <v>46695</v>
      </c>
      <c r="T64" s="18"/>
      <c r="U64" s="18"/>
      <c r="V64" s="325">
        <v>45978</v>
      </c>
      <c r="W64" s="91">
        <f t="shared" si="34"/>
        <v>46707</v>
      </c>
      <c r="X64" s="17">
        <v>45972</v>
      </c>
      <c r="Y64" s="91">
        <f t="shared" si="39"/>
        <v>46701</v>
      </c>
      <c r="Z64" s="328">
        <v>45989</v>
      </c>
      <c r="AA64" s="91">
        <f t="shared" si="35"/>
        <v>46718</v>
      </c>
      <c r="AB64" s="91">
        <v>45976</v>
      </c>
      <c r="AC64" s="91">
        <f t="shared" si="36"/>
        <v>46705</v>
      </c>
      <c r="AD64" s="91">
        <v>46000</v>
      </c>
      <c r="AE64" s="91">
        <f t="shared" si="37"/>
        <v>46729</v>
      </c>
      <c r="AF64" s="387">
        <v>46065</v>
      </c>
      <c r="AG64" s="91">
        <f t="shared" si="25"/>
        <v>46794</v>
      </c>
      <c r="AH64" s="91">
        <v>46056</v>
      </c>
      <c r="AI64" s="91">
        <f t="shared" si="23"/>
        <v>46785</v>
      </c>
      <c r="AJ64" s="91">
        <v>46063</v>
      </c>
      <c r="AK64" s="91">
        <f t="shared" si="24"/>
        <v>46792</v>
      </c>
      <c r="AL64" s="91">
        <v>46069</v>
      </c>
      <c r="AM64" s="91">
        <f t="shared" si="40"/>
        <v>46433</v>
      </c>
      <c r="AN64" s="395">
        <v>46032</v>
      </c>
      <c r="AO64" s="91">
        <f t="shared" si="7"/>
        <v>46761</v>
      </c>
      <c r="AP64" s="90">
        <v>46064</v>
      </c>
      <c r="AQ64" s="90">
        <f t="shared" si="8"/>
        <v>46793</v>
      </c>
      <c r="AR64" s="398"/>
      <c r="AS64" s="91" t="e">
        <f t="shared" si="9"/>
        <v>#VALUE!</v>
      </c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399"/>
      <c r="BG64" s="399"/>
      <c r="BH64" s="317"/>
      <c r="BI64" s="317"/>
      <c r="BJ64" s="317"/>
      <c r="BK64" s="317"/>
      <c r="BL64" s="11">
        <v>46072</v>
      </c>
      <c r="BM64" s="417">
        <f t="shared" si="10"/>
        <v>46801</v>
      </c>
      <c r="BN64" s="11"/>
      <c r="BO64" s="11"/>
      <c r="BP64" s="11"/>
      <c r="BQ64" s="10">
        <v>46010</v>
      </c>
      <c r="BR64" s="11"/>
      <c r="BS64" s="11"/>
      <c r="BT64" s="11"/>
      <c r="BU64" s="10">
        <v>45993</v>
      </c>
      <c r="BV64" s="11"/>
      <c r="BW64" s="11"/>
      <c r="BX64" s="11"/>
      <c r="BY64" s="10">
        <v>45992</v>
      </c>
      <c r="BZ64" s="11"/>
      <c r="CA64" s="10">
        <v>46007</v>
      </c>
      <c r="CB64" s="401"/>
      <c r="CC64" s="11"/>
      <c r="CD64" s="11"/>
      <c r="CE64" s="314"/>
      <c r="CF64" s="314"/>
      <c r="CG64" s="314"/>
      <c r="CH64" s="209"/>
      <c r="CI64" s="11"/>
      <c r="CJ64" s="11"/>
      <c r="CK64" s="317"/>
      <c r="CL64" s="427" t="s">
        <v>232</v>
      </c>
      <c r="CM64" s="317"/>
      <c r="CN64" s="11"/>
      <c r="CO64" s="11"/>
      <c r="CP64" s="11"/>
      <c r="CQ64" s="10">
        <v>46002</v>
      </c>
      <c r="CR64" s="10">
        <v>46002</v>
      </c>
      <c r="CS64" s="10">
        <v>46002</v>
      </c>
      <c r="CT64" s="11"/>
      <c r="CU64" s="11"/>
      <c r="CV64" s="11"/>
      <c r="CW64" s="11"/>
      <c r="CX64" s="11"/>
      <c r="CY64" s="10"/>
      <c r="CZ64" s="11"/>
    </row>
    <row r="65" spans="2:104" ht="50.25" customHeight="1">
      <c r="B65" s="331">
        <v>61</v>
      </c>
      <c r="C65" s="295" t="s">
        <v>438</v>
      </c>
      <c r="D65" s="384" t="s">
        <v>439</v>
      </c>
      <c r="E65" s="384" t="s">
        <v>440</v>
      </c>
      <c r="F65" s="385" t="s">
        <v>280</v>
      </c>
      <c r="G65" s="440" t="s">
        <v>232</v>
      </c>
      <c r="H65" s="290">
        <v>45934</v>
      </c>
      <c r="I65" s="91">
        <f t="shared" si="0"/>
        <v>46663</v>
      </c>
      <c r="J65" s="290">
        <v>45935</v>
      </c>
      <c r="K65" s="91">
        <f t="shared" si="1"/>
        <v>46664</v>
      </c>
      <c r="L65" s="290">
        <v>45936</v>
      </c>
      <c r="M65" s="91">
        <f t="shared" si="2"/>
        <v>46665</v>
      </c>
      <c r="N65" s="10">
        <v>45974</v>
      </c>
      <c r="O65" s="325">
        <v>46703</v>
      </c>
      <c r="P65" s="10">
        <v>45974</v>
      </c>
      <c r="Q65" s="325">
        <v>46703</v>
      </c>
      <c r="R65" s="18">
        <v>45966</v>
      </c>
      <c r="S65" s="18">
        <v>46695</v>
      </c>
      <c r="T65" s="392">
        <v>45995</v>
      </c>
      <c r="U65" s="91">
        <f>IF(ISBLANK(T65),"",EDATE(T65,24))-1</f>
        <v>46724</v>
      </c>
      <c r="V65" s="325">
        <v>45978</v>
      </c>
      <c r="W65" s="91">
        <f t="shared" si="34"/>
        <v>46707</v>
      </c>
      <c r="X65" s="17">
        <v>45972</v>
      </c>
      <c r="Y65" s="91">
        <f t="shared" si="39"/>
        <v>46701</v>
      </c>
      <c r="Z65" s="328">
        <v>45989</v>
      </c>
      <c r="AA65" s="91">
        <f t="shared" si="35"/>
        <v>46718</v>
      </c>
      <c r="AB65" s="91">
        <v>45976</v>
      </c>
      <c r="AC65" s="91">
        <f t="shared" si="36"/>
        <v>46705</v>
      </c>
      <c r="AD65" s="91">
        <v>46000</v>
      </c>
      <c r="AE65" s="91">
        <f t="shared" si="37"/>
        <v>46729</v>
      </c>
      <c r="AF65" s="387">
        <v>45933</v>
      </c>
      <c r="AG65" s="91">
        <f t="shared" si="25"/>
        <v>46662</v>
      </c>
      <c r="AH65" s="388">
        <v>45939</v>
      </c>
      <c r="AI65" s="91">
        <f t="shared" si="23"/>
        <v>46668</v>
      </c>
      <c r="AJ65" s="388">
        <v>45940</v>
      </c>
      <c r="AK65" s="91">
        <f t="shared" si="24"/>
        <v>46669</v>
      </c>
      <c r="AL65" s="393">
        <v>45941</v>
      </c>
      <c r="AM65" s="380">
        <f t="shared" si="40"/>
        <v>46305</v>
      </c>
      <c r="AN65" s="393">
        <v>45942</v>
      </c>
      <c r="AO65" s="91">
        <f t="shared" si="7"/>
        <v>46671</v>
      </c>
      <c r="AP65" s="317" t="s">
        <v>232</v>
      </c>
      <c r="AQ65" s="91" t="e">
        <f t="shared" si="8"/>
        <v>#VALUE!</v>
      </c>
      <c r="AR65" s="398" t="s">
        <v>232</v>
      </c>
      <c r="AS65" s="91" t="e">
        <f t="shared" si="9"/>
        <v>#VALUE!</v>
      </c>
      <c r="AT65" s="10"/>
      <c r="AU65" s="91"/>
      <c r="AV65" s="10"/>
      <c r="AW65" s="91"/>
      <c r="AX65" s="11" t="s">
        <v>232</v>
      </c>
      <c r="AY65" s="11" t="s">
        <v>232</v>
      </c>
      <c r="AZ65" s="11" t="s">
        <v>232</v>
      </c>
      <c r="BA65" s="11" t="s">
        <v>232</v>
      </c>
      <c r="BB65" s="11" t="s">
        <v>232</v>
      </c>
      <c r="BC65" s="11" t="s">
        <v>232</v>
      </c>
      <c r="BD65" s="11" t="s">
        <v>232</v>
      </c>
      <c r="BE65" s="11" t="s">
        <v>232</v>
      </c>
      <c r="BF65" s="399" t="s">
        <v>232</v>
      </c>
      <c r="BG65" s="399" t="s">
        <v>232</v>
      </c>
      <c r="BH65" s="317" t="s">
        <v>232</v>
      </c>
      <c r="BI65" s="317" t="s">
        <v>232</v>
      </c>
      <c r="BJ65" s="317" t="s">
        <v>232</v>
      </c>
      <c r="BK65" s="317" t="s">
        <v>232</v>
      </c>
      <c r="BL65" s="11" t="s">
        <v>232</v>
      </c>
      <c r="BM65" s="417" t="e">
        <f t="shared" si="10"/>
        <v>#VALUE!</v>
      </c>
      <c r="BN65" s="11" t="s">
        <v>232</v>
      </c>
      <c r="BO65" s="11" t="s">
        <v>232</v>
      </c>
      <c r="BP65" s="11" t="s">
        <v>232</v>
      </c>
      <c r="BQ65" s="11" t="s">
        <v>232</v>
      </c>
      <c r="BR65" s="11" t="s">
        <v>232</v>
      </c>
      <c r="BS65" s="11" t="s">
        <v>232</v>
      </c>
      <c r="BT65" s="11" t="s">
        <v>232</v>
      </c>
      <c r="BU65" s="10">
        <v>45993</v>
      </c>
      <c r="BV65" s="11" t="s">
        <v>232</v>
      </c>
      <c r="BW65" s="10">
        <v>46007</v>
      </c>
      <c r="BX65" s="11" t="s">
        <v>232</v>
      </c>
      <c r="BY65" s="10">
        <v>45992</v>
      </c>
      <c r="BZ65" s="11" t="s">
        <v>232</v>
      </c>
      <c r="CA65" s="11" t="s">
        <v>232</v>
      </c>
      <c r="CB65" s="399" t="s">
        <v>232</v>
      </c>
      <c r="CC65" s="11" t="s">
        <v>232</v>
      </c>
      <c r="CD65" s="11" t="s">
        <v>232</v>
      </c>
      <c r="CE65" s="70" t="s">
        <v>232</v>
      </c>
      <c r="CF65" s="434">
        <v>46015</v>
      </c>
      <c r="CG65" s="70" t="s">
        <v>232</v>
      </c>
      <c r="CH65" s="70" t="s">
        <v>232</v>
      </c>
      <c r="CI65" s="11" t="s">
        <v>232</v>
      </c>
      <c r="CJ65" s="11" t="s">
        <v>232</v>
      </c>
      <c r="CK65" s="317" t="s">
        <v>232</v>
      </c>
      <c r="CL65" s="427" t="s">
        <v>232</v>
      </c>
      <c r="CM65" s="317" t="s">
        <v>232</v>
      </c>
      <c r="CN65" s="11" t="s">
        <v>232</v>
      </c>
      <c r="CO65" s="11" t="s">
        <v>232</v>
      </c>
      <c r="CP65" s="11" t="s">
        <v>232</v>
      </c>
      <c r="CQ65" s="10">
        <v>46002</v>
      </c>
      <c r="CR65" s="10">
        <v>46002</v>
      </c>
      <c r="CS65" s="10">
        <v>46002</v>
      </c>
      <c r="CT65" s="11" t="s">
        <v>232</v>
      </c>
      <c r="CU65" s="11" t="s">
        <v>232</v>
      </c>
      <c r="CV65" s="11"/>
      <c r="CW65" s="11" t="s">
        <v>232</v>
      </c>
      <c r="CX65" s="11" t="s">
        <v>232</v>
      </c>
      <c r="CY65" s="10">
        <v>45953</v>
      </c>
      <c r="CZ65" s="11"/>
    </row>
    <row r="66" spans="2:104" ht="50.25" customHeight="1">
      <c r="B66" s="331">
        <v>62</v>
      </c>
      <c r="C66" s="295" t="s">
        <v>441</v>
      </c>
      <c r="D66" s="384" t="s">
        <v>442</v>
      </c>
      <c r="E66" s="384" t="s">
        <v>443</v>
      </c>
      <c r="F66" s="385" t="s">
        <v>444</v>
      </c>
      <c r="G66" s="440" t="s">
        <v>445</v>
      </c>
      <c r="H66" s="290">
        <v>45934</v>
      </c>
      <c r="I66" s="91">
        <f t="shared" si="0"/>
        <v>46663</v>
      </c>
      <c r="J66" s="290">
        <v>45935</v>
      </c>
      <c r="K66" s="91">
        <f t="shared" si="1"/>
        <v>46664</v>
      </c>
      <c r="L66" s="290">
        <v>45936</v>
      </c>
      <c r="M66" s="91">
        <f t="shared" si="2"/>
        <v>46665</v>
      </c>
      <c r="N66" s="10">
        <v>45974</v>
      </c>
      <c r="O66" s="325">
        <v>46703</v>
      </c>
      <c r="P66" s="10">
        <v>45974</v>
      </c>
      <c r="Q66" s="325">
        <v>46703</v>
      </c>
      <c r="R66" s="18">
        <v>45966</v>
      </c>
      <c r="S66" s="18">
        <v>46695</v>
      </c>
      <c r="T66" s="392">
        <v>45995</v>
      </c>
      <c r="U66" s="91">
        <f>IF(ISBLANK(T66),"",EDATE(T66,24))-1</f>
        <v>46724</v>
      </c>
      <c r="V66" s="325">
        <v>45978</v>
      </c>
      <c r="W66" s="91">
        <f t="shared" si="34"/>
        <v>46707</v>
      </c>
      <c r="X66" s="17">
        <v>45972</v>
      </c>
      <c r="Y66" s="91">
        <f t="shared" si="39"/>
        <v>46701</v>
      </c>
      <c r="Z66" s="328">
        <v>45989</v>
      </c>
      <c r="AA66" s="91">
        <f t="shared" si="35"/>
        <v>46718</v>
      </c>
      <c r="AB66" s="91">
        <v>45976</v>
      </c>
      <c r="AC66" s="91">
        <f t="shared" si="36"/>
        <v>46705</v>
      </c>
      <c r="AD66" s="91">
        <v>46000</v>
      </c>
      <c r="AE66" s="91">
        <f t="shared" si="37"/>
        <v>46729</v>
      </c>
      <c r="AF66" s="387">
        <v>45933</v>
      </c>
      <c r="AG66" s="91">
        <f t="shared" si="25"/>
        <v>46662</v>
      </c>
      <c r="AH66" s="388">
        <v>45939</v>
      </c>
      <c r="AI66" s="91">
        <f t="shared" si="23"/>
        <v>46668</v>
      </c>
      <c r="AJ66" s="388">
        <v>45940</v>
      </c>
      <c r="AK66" s="91">
        <f t="shared" si="24"/>
        <v>46669</v>
      </c>
      <c r="AL66" s="393">
        <v>45941</v>
      </c>
      <c r="AM66" s="380">
        <f t="shared" si="40"/>
        <v>46305</v>
      </c>
      <c r="AN66" s="393">
        <v>45942</v>
      </c>
      <c r="AO66" s="91">
        <f t="shared" si="7"/>
        <v>46671</v>
      </c>
      <c r="AP66" s="317" t="s">
        <v>232</v>
      </c>
      <c r="AQ66" s="91" t="e">
        <f t="shared" si="8"/>
        <v>#VALUE!</v>
      </c>
      <c r="AR66" s="398" t="s">
        <v>232</v>
      </c>
      <c r="AS66" s="91" t="e">
        <f t="shared" si="9"/>
        <v>#VALUE!</v>
      </c>
      <c r="AT66" s="10"/>
      <c r="AU66" s="91"/>
      <c r="AV66" s="10"/>
      <c r="AW66" s="91"/>
      <c r="AX66" s="11" t="s">
        <v>232</v>
      </c>
      <c r="AY66" s="11" t="s">
        <v>232</v>
      </c>
      <c r="AZ66" s="11" t="s">
        <v>232</v>
      </c>
      <c r="BA66" s="11" t="s">
        <v>232</v>
      </c>
      <c r="BB66" s="11" t="s">
        <v>232</v>
      </c>
      <c r="BC66" s="11" t="s">
        <v>232</v>
      </c>
      <c r="BD66" s="11" t="s">
        <v>232</v>
      </c>
      <c r="BE66" s="11" t="s">
        <v>232</v>
      </c>
      <c r="BF66" s="399" t="s">
        <v>232</v>
      </c>
      <c r="BG66" s="399" t="s">
        <v>232</v>
      </c>
      <c r="BH66" s="317" t="s">
        <v>232</v>
      </c>
      <c r="BI66" s="317" t="s">
        <v>232</v>
      </c>
      <c r="BJ66" s="317" t="s">
        <v>232</v>
      </c>
      <c r="BK66" s="317" t="s">
        <v>232</v>
      </c>
      <c r="BL66" s="11" t="s">
        <v>232</v>
      </c>
      <c r="BM66" s="417" t="e">
        <f t="shared" si="10"/>
        <v>#VALUE!</v>
      </c>
      <c r="BN66" s="11" t="s">
        <v>232</v>
      </c>
      <c r="BO66" s="11" t="s">
        <v>232</v>
      </c>
      <c r="BP66" s="11" t="s">
        <v>232</v>
      </c>
      <c r="BQ66" s="11" t="s">
        <v>232</v>
      </c>
      <c r="BR66" s="11" t="s">
        <v>232</v>
      </c>
      <c r="BS66" s="11" t="s">
        <v>232</v>
      </c>
      <c r="BT66" s="11" t="s">
        <v>232</v>
      </c>
      <c r="BU66" s="10">
        <v>45993</v>
      </c>
      <c r="BV66" s="11" t="s">
        <v>232</v>
      </c>
      <c r="BW66" s="10">
        <v>46007</v>
      </c>
      <c r="BX66" s="11" t="s">
        <v>232</v>
      </c>
      <c r="BY66" s="10">
        <v>45992</v>
      </c>
      <c r="BZ66" s="11" t="s">
        <v>232</v>
      </c>
      <c r="CA66" s="10">
        <v>46007</v>
      </c>
      <c r="CB66" s="399" t="s">
        <v>232</v>
      </c>
      <c r="CC66" s="11" t="s">
        <v>232</v>
      </c>
      <c r="CD66" s="11" t="s">
        <v>232</v>
      </c>
      <c r="CE66" s="70" t="s">
        <v>232</v>
      </c>
      <c r="CF66" s="434">
        <v>46015</v>
      </c>
      <c r="CG66" s="70" t="s">
        <v>232</v>
      </c>
      <c r="CH66" s="70" t="s">
        <v>232</v>
      </c>
      <c r="CI66" s="11" t="s">
        <v>232</v>
      </c>
      <c r="CJ66" s="11" t="s">
        <v>232</v>
      </c>
      <c r="CK66" s="317" t="s">
        <v>232</v>
      </c>
      <c r="CL66" s="11" t="s">
        <v>232</v>
      </c>
      <c r="CM66" s="317" t="s">
        <v>232</v>
      </c>
      <c r="CN66" s="11" t="s">
        <v>232</v>
      </c>
      <c r="CO66" s="11" t="s">
        <v>232</v>
      </c>
      <c r="CP66" s="11" t="s">
        <v>232</v>
      </c>
      <c r="CQ66" s="10">
        <v>46002</v>
      </c>
      <c r="CR66" s="10">
        <v>46002</v>
      </c>
      <c r="CS66" s="10">
        <v>46002</v>
      </c>
      <c r="CT66" s="11" t="s">
        <v>232</v>
      </c>
      <c r="CU66" s="11" t="s">
        <v>232</v>
      </c>
      <c r="CV66" s="11"/>
      <c r="CW66" s="11" t="s">
        <v>232</v>
      </c>
      <c r="CX66" s="11" t="s">
        <v>232</v>
      </c>
      <c r="CY66" s="11"/>
      <c r="CZ66" s="11"/>
    </row>
    <row r="67" spans="2:104" ht="50.25" customHeight="1">
      <c r="B67" s="331">
        <v>63</v>
      </c>
      <c r="C67" s="295" t="s">
        <v>446</v>
      </c>
      <c r="D67" s="384" t="s">
        <v>447</v>
      </c>
      <c r="E67" s="384" t="s">
        <v>448</v>
      </c>
      <c r="F67" s="385" t="s">
        <v>280</v>
      </c>
      <c r="G67" s="440" t="s">
        <v>232</v>
      </c>
      <c r="H67" s="290">
        <v>45934</v>
      </c>
      <c r="I67" s="91">
        <f t="shared" si="0"/>
        <v>46663</v>
      </c>
      <c r="J67" s="290">
        <v>45935</v>
      </c>
      <c r="K67" s="91">
        <f t="shared" si="1"/>
        <v>46664</v>
      </c>
      <c r="L67" s="290">
        <v>45936</v>
      </c>
      <c r="M67" s="91">
        <f t="shared" si="2"/>
        <v>46665</v>
      </c>
      <c r="N67" s="10">
        <v>45974</v>
      </c>
      <c r="O67" s="325">
        <v>46703</v>
      </c>
      <c r="P67" s="10">
        <v>45974</v>
      </c>
      <c r="Q67" s="325">
        <v>46703</v>
      </c>
      <c r="R67" s="18">
        <v>45966</v>
      </c>
      <c r="S67" s="18">
        <v>46695</v>
      </c>
      <c r="T67" s="392">
        <v>45995</v>
      </c>
      <c r="U67" s="91">
        <f>IF(ISBLANK(T67),"",EDATE(T67,24))-1</f>
        <v>46724</v>
      </c>
      <c r="V67" s="325">
        <v>45978</v>
      </c>
      <c r="W67" s="91">
        <f t="shared" si="34"/>
        <v>46707</v>
      </c>
      <c r="X67" s="17">
        <v>45972</v>
      </c>
      <c r="Y67" s="91">
        <f t="shared" si="39"/>
        <v>46701</v>
      </c>
      <c r="Z67" s="328">
        <v>45989</v>
      </c>
      <c r="AA67" s="91">
        <f t="shared" si="35"/>
        <v>46718</v>
      </c>
      <c r="AB67" s="91">
        <v>45976</v>
      </c>
      <c r="AC67" s="91">
        <f t="shared" si="36"/>
        <v>46705</v>
      </c>
      <c r="AD67" s="91">
        <v>46000</v>
      </c>
      <c r="AE67" s="91">
        <f t="shared" si="37"/>
        <v>46729</v>
      </c>
      <c r="AF67" s="387">
        <v>45933</v>
      </c>
      <c r="AG67" s="91">
        <f t="shared" si="25"/>
        <v>46662</v>
      </c>
      <c r="AH67" s="388">
        <v>45939</v>
      </c>
      <c r="AI67" s="91">
        <f t="shared" si="23"/>
        <v>46668</v>
      </c>
      <c r="AJ67" s="388">
        <v>45940</v>
      </c>
      <c r="AK67" s="91">
        <f t="shared" si="24"/>
        <v>46669</v>
      </c>
      <c r="AL67" s="393">
        <v>45941</v>
      </c>
      <c r="AM67" s="380">
        <f t="shared" si="40"/>
        <v>46305</v>
      </c>
      <c r="AN67" s="393">
        <v>45942</v>
      </c>
      <c r="AO67" s="91">
        <f t="shared" si="7"/>
        <v>46671</v>
      </c>
      <c r="AP67" s="317" t="s">
        <v>232</v>
      </c>
      <c r="AQ67" s="91" t="e">
        <f t="shared" si="8"/>
        <v>#VALUE!</v>
      </c>
      <c r="AR67" s="398" t="s">
        <v>232</v>
      </c>
      <c r="AS67" s="91" t="e">
        <f t="shared" si="9"/>
        <v>#VALUE!</v>
      </c>
      <c r="AT67" s="10"/>
      <c r="AU67" s="91"/>
      <c r="AV67" s="10"/>
      <c r="AW67" s="91"/>
      <c r="AX67" s="11" t="s">
        <v>232</v>
      </c>
      <c r="AY67" s="11" t="s">
        <v>232</v>
      </c>
      <c r="AZ67" s="11" t="s">
        <v>232</v>
      </c>
      <c r="BA67" s="11" t="s">
        <v>232</v>
      </c>
      <c r="BB67" s="11" t="s">
        <v>232</v>
      </c>
      <c r="BC67" s="11" t="s">
        <v>232</v>
      </c>
      <c r="BD67" s="11" t="s">
        <v>232</v>
      </c>
      <c r="BE67" s="11" t="s">
        <v>232</v>
      </c>
      <c r="BF67" s="399" t="s">
        <v>232</v>
      </c>
      <c r="BG67" s="399" t="s">
        <v>232</v>
      </c>
      <c r="BH67" s="317" t="s">
        <v>232</v>
      </c>
      <c r="BI67" s="317" t="s">
        <v>232</v>
      </c>
      <c r="BJ67" s="317" t="s">
        <v>232</v>
      </c>
      <c r="BK67" s="317" t="s">
        <v>232</v>
      </c>
      <c r="BL67" s="11" t="s">
        <v>232</v>
      </c>
      <c r="BM67" s="417" t="e">
        <f t="shared" si="10"/>
        <v>#VALUE!</v>
      </c>
      <c r="BN67" s="11" t="s">
        <v>232</v>
      </c>
      <c r="BO67" s="11" t="s">
        <v>232</v>
      </c>
      <c r="BP67" s="11" t="s">
        <v>232</v>
      </c>
      <c r="BQ67" s="11" t="s">
        <v>232</v>
      </c>
      <c r="BR67" s="11" t="s">
        <v>232</v>
      </c>
      <c r="BS67" s="11" t="s">
        <v>232</v>
      </c>
      <c r="BT67" s="11" t="s">
        <v>232</v>
      </c>
      <c r="BU67" s="10">
        <v>45993</v>
      </c>
      <c r="BV67" s="11" t="s">
        <v>232</v>
      </c>
      <c r="BW67" s="10">
        <v>46007</v>
      </c>
      <c r="BX67" s="11" t="s">
        <v>232</v>
      </c>
      <c r="BY67" s="10">
        <v>45992</v>
      </c>
      <c r="BZ67" s="11" t="s">
        <v>232</v>
      </c>
      <c r="CA67" s="10">
        <v>46007</v>
      </c>
      <c r="CB67" s="399" t="s">
        <v>232</v>
      </c>
      <c r="CC67" s="11" t="s">
        <v>232</v>
      </c>
      <c r="CD67" s="11" t="s">
        <v>232</v>
      </c>
      <c r="CE67" s="70" t="s">
        <v>232</v>
      </c>
      <c r="CF67" s="70" t="s">
        <v>232</v>
      </c>
      <c r="CG67" s="70" t="s">
        <v>232</v>
      </c>
      <c r="CH67" s="70" t="s">
        <v>232</v>
      </c>
      <c r="CI67" s="11" t="s">
        <v>232</v>
      </c>
      <c r="CJ67" s="11" t="s">
        <v>232</v>
      </c>
      <c r="CK67" s="317" t="s">
        <v>232</v>
      </c>
      <c r="CL67" s="427" t="s">
        <v>232</v>
      </c>
      <c r="CM67" s="317" t="s">
        <v>232</v>
      </c>
      <c r="CN67" s="11" t="s">
        <v>232</v>
      </c>
      <c r="CO67" s="11" t="s">
        <v>232</v>
      </c>
      <c r="CP67" s="11" t="s">
        <v>232</v>
      </c>
      <c r="CQ67" s="10">
        <v>46002</v>
      </c>
      <c r="CR67" s="10">
        <v>46002</v>
      </c>
      <c r="CS67" s="10">
        <v>46002</v>
      </c>
      <c r="CT67" s="11" t="s">
        <v>232</v>
      </c>
      <c r="CU67" s="11" t="s">
        <v>232</v>
      </c>
      <c r="CV67" s="11"/>
      <c r="CW67" s="11" t="s">
        <v>232</v>
      </c>
      <c r="CX67" s="11" t="s">
        <v>232</v>
      </c>
      <c r="CY67" s="10">
        <v>45953</v>
      </c>
      <c r="CZ67" s="11"/>
    </row>
    <row r="68" spans="2:104" ht="50.25" customHeight="1">
      <c r="B68" s="331">
        <v>64</v>
      </c>
      <c r="C68" s="295" t="s">
        <v>449</v>
      </c>
      <c r="D68" s="384" t="s">
        <v>450</v>
      </c>
      <c r="E68" s="384" t="s">
        <v>451</v>
      </c>
      <c r="F68" s="385" t="s">
        <v>280</v>
      </c>
      <c r="G68" s="440"/>
      <c r="H68" s="290">
        <v>45934</v>
      </c>
      <c r="I68" s="91">
        <f t="shared" si="0"/>
        <v>46663</v>
      </c>
      <c r="J68" s="290">
        <v>45935</v>
      </c>
      <c r="K68" s="91">
        <f t="shared" si="1"/>
        <v>46664</v>
      </c>
      <c r="L68" s="290">
        <v>45936</v>
      </c>
      <c r="M68" s="91">
        <f t="shared" si="2"/>
        <v>46665</v>
      </c>
      <c r="N68" s="10">
        <v>45974</v>
      </c>
      <c r="O68" s="325">
        <v>46703</v>
      </c>
      <c r="P68" s="10">
        <v>45974</v>
      </c>
      <c r="Q68" s="325">
        <v>46703</v>
      </c>
      <c r="R68" s="18">
        <v>45966</v>
      </c>
      <c r="S68" s="18">
        <v>46695</v>
      </c>
      <c r="T68" s="392">
        <v>45995</v>
      </c>
      <c r="U68" s="392">
        <v>46724</v>
      </c>
      <c r="V68" s="325">
        <v>45978</v>
      </c>
      <c r="W68" s="91">
        <f t="shared" si="34"/>
        <v>46707</v>
      </c>
      <c r="X68" s="17">
        <v>45972</v>
      </c>
      <c r="Y68" s="91">
        <f t="shared" si="39"/>
        <v>46701</v>
      </c>
      <c r="Z68" s="328">
        <v>45989</v>
      </c>
      <c r="AA68" s="91">
        <f t="shared" si="35"/>
        <v>46718</v>
      </c>
      <c r="AB68" s="91">
        <v>45976</v>
      </c>
      <c r="AC68" s="91">
        <f t="shared" si="36"/>
        <v>46705</v>
      </c>
      <c r="AD68" s="91">
        <v>46000</v>
      </c>
      <c r="AE68" s="91">
        <f t="shared" si="37"/>
        <v>46729</v>
      </c>
      <c r="AF68" s="387"/>
      <c r="AG68" s="91" t="e">
        <f t="shared" si="25"/>
        <v>#VALUE!</v>
      </c>
      <c r="AH68" s="388"/>
      <c r="AI68" s="91" t="e">
        <f t="shared" si="23"/>
        <v>#VALUE!</v>
      </c>
      <c r="AJ68" s="388"/>
      <c r="AK68" s="91" t="e">
        <f t="shared" si="24"/>
        <v>#VALUE!</v>
      </c>
      <c r="AL68" s="395"/>
      <c r="AM68" s="38"/>
      <c r="AN68" s="395"/>
      <c r="AO68" s="91" t="e">
        <f t="shared" si="7"/>
        <v>#VALUE!</v>
      </c>
      <c r="AP68" s="317"/>
      <c r="AQ68" s="91" t="e">
        <f t="shared" si="8"/>
        <v>#VALUE!</v>
      </c>
      <c r="AR68" s="398"/>
      <c r="AS68" s="91" t="e">
        <f t="shared" si="9"/>
        <v>#VALUE!</v>
      </c>
      <c r="AT68" s="10"/>
      <c r="AU68" s="91"/>
      <c r="AV68" s="10"/>
      <c r="AW68" s="91"/>
      <c r="AX68" s="11"/>
      <c r="AY68" s="11"/>
      <c r="AZ68" s="11"/>
      <c r="BA68" s="11"/>
      <c r="BB68" s="11"/>
      <c r="BC68" s="11"/>
      <c r="BD68" s="11"/>
      <c r="BE68" s="11"/>
      <c r="BF68" s="399"/>
      <c r="BG68" s="399"/>
      <c r="BH68" s="317"/>
      <c r="BI68" s="317"/>
      <c r="BJ68" s="317"/>
      <c r="BK68" s="317"/>
      <c r="BL68" s="11"/>
      <c r="BM68" s="417" t="e">
        <f t="shared" si="10"/>
        <v>#VALUE!</v>
      </c>
      <c r="BN68" s="11"/>
      <c r="BO68" s="11"/>
      <c r="BP68" s="11"/>
      <c r="BQ68" s="11"/>
      <c r="BR68" s="11"/>
      <c r="BS68" s="11"/>
      <c r="BT68" s="11"/>
      <c r="BU68" s="10">
        <v>45993</v>
      </c>
      <c r="BV68" s="11"/>
      <c r="BW68" s="10">
        <v>46007</v>
      </c>
      <c r="BX68" s="11"/>
      <c r="BY68" s="10">
        <v>45992</v>
      </c>
      <c r="BZ68" s="11"/>
      <c r="CA68" s="10">
        <v>46007</v>
      </c>
      <c r="CB68" s="401"/>
      <c r="CC68" s="11"/>
      <c r="CD68" s="11"/>
      <c r="CE68" s="314"/>
      <c r="CF68" s="434">
        <v>46015</v>
      </c>
      <c r="CG68" s="314"/>
      <c r="CH68" s="209"/>
      <c r="CI68" s="11"/>
      <c r="CJ68" s="11"/>
      <c r="CK68" s="317"/>
      <c r="CL68" s="427" t="s">
        <v>232</v>
      </c>
      <c r="CM68" s="317"/>
      <c r="CN68" s="11"/>
      <c r="CO68" s="11"/>
      <c r="CP68" s="11"/>
      <c r="CQ68" s="10">
        <v>46002</v>
      </c>
      <c r="CR68" s="10">
        <v>46002</v>
      </c>
      <c r="CS68" s="10">
        <v>46002</v>
      </c>
      <c r="CT68" s="11"/>
      <c r="CU68" s="11"/>
      <c r="CV68" s="11"/>
      <c r="CW68" s="11"/>
      <c r="CX68" s="11"/>
      <c r="CY68" s="10"/>
      <c r="CZ68" s="11"/>
    </row>
    <row r="69" spans="2:104" ht="50.25" customHeight="1">
      <c r="B69" s="331">
        <v>65</v>
      </c>
      <c r="C69" s="295" t="s">
        <v>452</v>
      </c>
      <c r="D69" s="384" t="s">
        <v>453</v>
      </c>
      <c r="E69" s="384" t="s">
        <v>454</v>
      </c>
      <c r="F69" s="385" t="s">
        <v>455</v>
      </c>
      <c r="G69" s="444" t="s">
        <v>232</v>
      </c>
      <c r="H69" s="290">
        <v>45934</v>
      </c>
      <c r="I69" s="91">
        <f t="shared" ref="I69:I83" si="41">IF(ISBLANK(H69),"",EDATE(H69,24))-1</f>
        <v>46663</v>
      </c>
      <c r="J69" s="290">
        <v>45935</v>
      </c>
      <c r="K69" s="91">
        <f t="shared" ref="K69:K83" si="42">IF(ISBLANK(J69),"",EDATE(J69,24))-1</f>
        <v>46664</v>
      </c>
      <c r="L69" s="290">
        <v>45936</v>
      </c>
      <c r="M69" s="91">
        <f t="shared" ref="M69:M102" si="43">IF(ISBLANK(L69),"",EDATE(L69,24))-1</f>
        <v>46665</v>
      </c>
      <c r="N69" s="10">
        <v>45974</v>
      </c>
      <c r="O69" s="325">
        <v>46703</v>
      </c>
      <c r="P69" s="10">
        <v>45974</v>
      </c>
      <c r="Q69" s="325">
        <v>46703</v>
      </c>
      <c r="R69" s="18">
        <v>45966</v>
      </c>
      <c r="S69" s="18">
        <v>46695</v>
      </c>
      <c r="T69" s="392">
        <v>45995</v>
      </c>
      <c r="U69" s="91">
        <f>IF(ISBLANK(T69),"",EDATE(T69,24))-1</f>
        <v>46724</v>
      </c>
      <c r="V69" s="325">
        <v>45978</v>
      </c>
      <c r="W69" s="91">
        <f t="shared" si="34"/>
        <v>46707</v>
      </c>
      <c r="X69" s="17">
        <v>45972</v>
      </c>
      <c r="Y69" s="91">
        <f t="shared" si="39"/>
        <v>46701</v>
      </c>
      <c r="Z69" s="328">
        <v>45989</v>
      </c>
      <c r="AA69" s="91">
        <f t="shared" si="35"/>
        <v>46718</v>
      </c>
      <c r="AB69" s="91">
        <v>45976</v>
      </c>
      <c r="AC69" s="91">
        <f t="shared" si="36"/>
        <v>46705</v>
      </c>
      <c r="AD69" s="91">
        <v>46000</v>
      </c>
      <c r="AE69" s="91">
        <f t="shared" si="37"/>
        <v>46729</v>
      </c>
      <c r="AF69" s="387">
        <v>45933</v>
      </c>
      <c r="AG69" s="91">
        <f t="shared" si="25"/>
        <v>46662</v>
      </c>
      <c r="AH69" s="388">
        <v>45939</v>
      </c>
      <c r="AI69" s="91">
        <f t="shared" si="23"/>
        <v>46668</v>
      </c>
      <c r="AJ69" s="388">
        <v>45940</v>
      </c>
      <c r="AK69" s="91">
        <f t="shared" si="24"/>
        <v>46669</v>
      </c>
      <c r="AL69" s="393">
        <v>45941</v>
      </c>
      <c r="AM69" s="380">
        <f t="shared" ref="AM69:AM79" si="44">IF(ISBLANK(AL69),"",EDATE(AL69,12))-1</f>
        <v>46305</v>
      </c>
      <c r="AN69" s="393">
        <v>45942</v>
      </c>
      <c r="AO69" s="91">
        <f t="shared" ref="AO69:AO83" si="45">IF(ISBLANK(AN69),"",EDATE(AN69,24))-1</f>
        <v>46671</v>
      </c>
      <c r="AP69" s="317" t="s">
        <v>232</v>
      </c>
      <c r="AQ69" s="91" t="e">
        <f t="shared" ref="AQ69:AQ90" si="46">IF(ISBLANK(AP69),"",EDATE(AP69,24))-1</f>
        <v>#VALUE!</v>
      </c>
      <c r="AR69" s="398" t="s">
        <v>232</v>
      </c>
      <c r="AS69" s="91" t="e">
        <f t="shared" ref="AS69:AS82" si="47">IF(ISBLANK(AR69),"",EDATE(AR69,24))-1</f>
        <v>#VALUE!</v>
      </c>
      <c r="AT69" s="10"/>
      <c r="AU69" s="91"/>
      <c r="AV69" s="10"/>
      <c r="AW69" s="91"/>
      <c r="AX69" s="11" t="s">
        <v>232</v>
      </c>
      <c r="AY69" s="11" t="s">
        <v>232</v>
      </c>
      <c r="AZ69" s="11" t="s">
        <v>232</v>
      </c>
      <c r="BA69" s="11" t="s">
        <v>232</v>
      </c>
      <c r="BB69" s="11" t="s">
        <v>232</v>
      </c>
      <c r="BC69" s="11" t="s">
        <v>232</v>
      </c>
      <c r="BD69" s="11" t="s">
        <v>232</v>
      </c>
      <c r="BE69" s="11" t="s">
        <v>232</v>
      </c>
      <c r="BF69" s="399" t="s">
        <v>232</v>
      </c>
      <c r="BG69" s="399" t="s">
        <v>232</v>
      </c>
      <c r="BH69" s="317" t="s">
        <v>232</v>
      </c>
      <c r="BI69" s="317" t="s">
        <v>232</v>
      </c>
      <c r="BJ69" s="317" t="s">
        <v>232</v>
      </c>
      <c r="BK69" s="317" t="s">
        <v>232</v>
      </c>
      <c r="BL69" s="11" t="s">
        <v>232</v>
      </c>
      <c r="BM69" s="417" t="e">
        <f t="shared" ref="BM69:BM87" si="48">IF(ISBLANK(BL69),"",EDATE(BL69,24))-1</f>
        <v>#VALUE!</v>
      </c>
      <c r="BN69" s="11" t="s">
        <v>232</v>
      </c>
      <c r="BO69" s="11" t="s">
        <v>232</v>
      </c>
      <c r="BP69" s="11" t="s">
        <v>232</v>
      </c>
      <c r="BQ69" s="11" t="s">
        <v>232</v>
      </c>
      <c r="BR69" s="11" t="s">
        <v>232</v>
      </c>
      <c r="BS69" s="11" t="s">
        <v>232</v>
      </c>
      <c r="BT69" s="11" t="s">
        <v>232</v>
      </c>
      <c r="BU69" s="10">
        <v>45993</v>
      </c>
      <c r="BV69" s="11" t="s">
        <v>232</v>
      </c>
      <c r="BW69" s="10">
        <v>46007</v>
      </c>
      <c r="BX69" s="11" t="s">
        <v>232</v>
      </c>
      <c r="BY69" s="10">
        <v>45992</v>
      </c>
      <c r="BZ69" s="11" t="s">
        <v>232</v>
      </c>
      <c r="CA69" s="10">
        <v>46007</v>
      </c>
      <c r="CB69" s="399" t="s">
        <v>232</v>
      </c>
      <c r="CC69" s="11" t="s">
        <v>232</v>
      </c>
      <c r="CD69" s="11" t="s">
        <v>232</v>
      </c>
      <c r="CE69" s="70" t="s">
        <v>232</v>
      </c>
      <c r="CF69" s="434">
        <v>46015</v>
      </c>
      <c r="CG69" s="70" t="s">
        <v>232</v>
      </c>
      <c r="CH69" s="70" t="s">
        <v>232</v>
      </c>
      <c r="CI69" s="11" t="s">
        <v>232</v>
      </c>
      <c r="CJ69" s="11" t="s">
        <v>232</v>
      </c>
      <c r="CK69" s="317" t="s">
        <v>232</v>
      </c>
      <c r="CL69" s="427" t="s">
        <v>232</v>
      </c>
      <c r="CM69" s="317" t="s">
        <v>232</v>
      </c>
      <c r="CN69" s="11" t="s">
        <v>232</v>
      </c>
      <c r="CO69" s="11" t="s">
        <v>232</v>
      </c>
      <c r="CP69" s="11" t="s">
        <v>232</v>
      </c>
      <c r="CQ69" s="10">
        <v>46002</v>
      </c>
      <c r="CR69" s="10">
        <v>46002</v>
      </c>
      <c r="CS69" s="10">
        <v>46002</v>
      </c>
      <c r="CT69" s="11" t="s">
        <v>232</v>
      </c>
      <c r="CU69" s="11" t="s">
        <v>232</v>
      </c>
      <c r="CV69" s="11"/>
      <c r="CW69" s="11" t="s">
        <v>232</v>
      </c>
      <c r="CX69" s="11" t="s">
        <v>232</v>
      </c>
      <c r="CY69" s="10">
        <v>45953</v>
      </c>
      <c r="CZ69" s="11"/>
    </row>
    <row r="70" spans="2:104" ht="50.25" customHeight="1">
      <c r="B70" s="331">
        <v>66</v>
      </c>
      <c r="C70" s="295" t="s">
        <v>456</v>
      </c>
      <c r="D70" s="384" t="s">
        <v>457</v>
      </c>
      <c r="E70" s="384" t="s">
        <v>458</v>
      </c>
      <c r="F70" s="385" t="s">
        <v>239</v>
      </c>
      <c r="G70" s="444" t="s">
        <v>459</v>
      </c>
      <c r="H70" s="290">
        <v>45934</v>
      </c>
      <c r="I70" s="91">
        <f t="shared" si="41"/>
        <v>46663</v>
      </c>
      <c r="J70" s="290">
        <v>45935</v>
      </c>
      <c r="K70" s="91">
        <f t="shared" si="42"/>
        <v>46664</v>
      </c>
      <c r="L70" s="290">
        <v>45936</v>
      </c>
      <c r="M70" s="91">
        <f t="shared" si="43"/>
        <v>46665</v>
      </c>
      <c r="N70" s="10">
        <v>45974</v>
      </c>
      <c r="O70" s="325">
        <v>46703</v>
      </c>
      <c r="P70" s="10">
        <v>45974</v>
      </c>
      <c r="Q70" s="325">
        <v>46703</v>
      </c>
      <c r="R70" s="18">
        <v>45966</v>
      </c>
      <c r="S70" s="18">
        <v>46695</v>
      </c>
      <c r="T70" s="392">
        <v>45995</v>
      </c>
      <c r="U70" s="91">
        <f>IF(ISBLANK(T70),"",EDATE(T70,24))-1</f>
        <v>46724</v>
      </c>
      <c r="V70" s="325">
        <v>45978</v>
      </c>
      <c r="W70" s="91">
        <f t="shared" si="34"/>
        <v>46707</v>
      </c>
      <c r="X70" s="17">
        <v>45972</v>
      </c>
      <c r="Y70" s="91">
        <f t="shared" si="39"/>
        <v>46701</v>
      </c>
      <c r="Z70" s="328">
        <v>45989</v>
      </c>
      <c r="AA70" s="91">
        <f t="shared" si="35"/>
        <v>46718</v>
      </c>
      <c r="AB70" s="91">
        <v>45976</v>
      </c>
      <c r="AC70" s="91">
        <f t="shared" si="36"/>
        <v>46705</v>
      </c>
      <c r="AD70" s="91">
        <v>45998</v>
      </c>
      <c r="AE70" s="91">
        <f t="shared" si="37"/>
        <v>46727</v>
      </c>
      <c r="AF70" s="387">
        <v>45933</v>
      </c>
      <c r="AG70" s="91">
        <f t="shared" si="25"/>
        <v>46662</v>
      </c>
      <c r="AH70" s="388">
        <v>45939</v>
      </c>
      <c r="AI70" s="91">
        <f t="shared" si="23"/>
        <v>46668</v>
      </c>
      <c r="AJ70" s="388">
        <v>45940</v>
      </c>
      <c r="AK70" s="91">
        <f t="shared" si="24"/>
        <v>46669</v>
      </c>
      <c r="AL70" s="393">
        <v>45941</v>
      </c>
      <c r="AM70" s="380">
        <f t="shared" si="44"/>
        <v>46305</v>
      </c>
      <c r="AN70" s="393">
        <v>45942</v>
      </c>
      <c r="AO70" s="91">
        <f t="shared" si="45"/>
        <v>46671</v>
      </c>
      <c r="AP70" s="317" t="s">
        <v>232</v>
      </c>
      <c r="AQ70" s="91" t="e">
        <f t="shared" si="46"/>
        <v>#VALUE!</v>
      </c>
      <c r="AR70" s="398" t="s">
        <v>232</v>
      </c>
      <c r="AS70" s="91" t="e">
        <f t="shared" si="47"/>
        <v>#VALUE!</v>
      </c>
      <c r="AT70" s="10"/>
      <c r="AU70" s="91"/>
      <c r="AV70" s="10"/>
      <c r="AW70" s="91"/>
      <c r="AX70" s="11" t="s">
        <v>232</v>
      </c>
      <c r="AY70" s="11" t="s">
        <v>232</v>
      </c>
      <c r="AZ70" s="11" t="s">
        <v>232</v>
      </c>
      <c r="BA70" s="11" t="s">
        <v>232</v>
      </c>
      <c r="BB70" s="11" t="s">
        <v>232</v>
      </c>
      <c r="BC70" s="11" t="s">
        <v>232</v>
      </c>
      <c r="BD70" s="11" t="s">
        <v>232</v>
      </c>
      <c r="BE70" s="11" t="s">
        <v>232</v>
      </c>
      <c r="BF70" s="399" t="s">
        <v>232</v>
      </c>
      <c r="BG70" s="399" t="s">
        <v>232</v>
      </c>
      <c r="BH70" s="317" t="s">
        <v>232</v>
      </c>
      <c r="BI70" s="317" t="s">
        <v>232</v>
      </c>
      <c r="BJ70" s="317" t="s">
        <v>232</v>
      </c>
      <c r="BK70" s="317" t="s">
        <v>232</v>
      </c>
      <c r="BL70" s="10">
        <v>45937</v>
      </c>
      <c r="BM70" s="417">
        <f t="shared" si="48"/>
        <v>46666</v>
      </c>
      <c r="BN70" s="11" t="s">
        <v>232</v>
      </c>
      <c r="BO70" s="11" t="s">
        <v>232</v>
      </c>
      <c r="BP70" s="11" t="s">
        <v>232</v>
      </c>
      <c r="BQ70" s="11" t="s">
        <v>232</v>
      </c>
      <c r="BR70" s="11" t="s">
        <v>232</v>
      </c>
      <c r="BS70" s="11" t="s">
        <v>232</v>
      </c>
      <c r="BT70" s="11" t="s">
        <v>232</v>
      </c>
      <c r="BU70" s="10">
        <v>45993</v>
      </c>
      <c r="BV70" s="11" t="s">
        <v>232</v>
      </c>
      <c r="BW70" s="10">
        <v>46007</v>
      </c>
      <c r="BX70" s="11" t="s">
        <v>232</v>
      </c>
      <c r="BY70" s="10">
        <v>45992</v>
      </c>
      <c r="BZ70" s="11" t="s">
        <v>232</v>
      </c>
      <c r="CA70" s="10">
        <v>46007</v>
      </c>
      <c r="CB70" s="399" t="s">
        <v>232</v>
      </c>
      <c r="CC70" s="11" t="s">
        <v>232</v>
      </c>
      <c r="CD70" s="11" t="s">
        <v>232</v>
      </c>
      <c r="CE70" s="70" t="s">
        <v>232</v>
      </c>
      <c r="CF70" s="434">
        <v>46015</v>
      </c>
      <c r="CG70" s="70" t="s">
        <v>232</v>
      </c>
      <c r="CH70" s="70" t="s">
        <v>232</v>
      </c>
      <c r="CI70" s="91">
        <v>46049</v>
      </c>
      <c r="CJ70" s="11" t="s">
        <v>232</v>
      </c>
      <c r="CK70" s="317" t="s">
        <v>232</v>
      </c>
      <c r="CL70" s="427" t="s">
        <v>232</v>
      </c>
      <c r="CM70" s="317" t="s">
        <v>232</v>
      </c>
      <c r="CN70" s="11" t="s">
        <v>232</v>
      </c>
      <c r="CO70" s="11" t="s">
        <v>232</v>
      </c>
      <c r="CP70" s="11" t="s">
        <v>232</v>
      </c>
      <c r="CQ70" s="10">
        <v>46002</v>
      </c>
      <c r="CR70" s="10">
        <v>46002</v>
      </c>
      <c r="CS70" s="10">
        <v>46002</v>
      </c>
      <c r="CT70" s="11" t="s">
        <v>232</v>
      </c>
      <c r="CU70" s="11" t="s">
        <v>232</v>
      </c>
      <c r="CV70" s="11">
        <v>46070</v>
      </c>
      <c r="CW70" s="11" t="s">
        <v>232</v>
      </c>
      <c r="CX70" s="11" t="s">
        <v>232</v>
      </c>
      <c r="CY70" s="10">
        <v>45953</v>
      </c>
      <c r="CZ70" s="11"/>
    </row>
    <row r="71" spans="2:104" ht="50.25" customHeight="1">
      <c r="B71" s="331">
        <v>67</v>
      </c>
      <c r="C71" s="295" t="s">
        <v>460</v>
      </c>
      <c r="D71" s="384" t="s">
        <v>461</v>
      </c>
      <c r="E71" s="384" t="s">
        <v>462</v>
      </c>
      <c r="F71" s="385" t="s">
        <v>455</v>
      </c>
      <c r="G71" s="449" t="s">
        <v>463</v>
      </c>
      <c r="H71" s="290">
        <v>45934</v>
      </c>
      <c r="I71" s="91">
        <f t="shared" si="41"/>
        <v>46663</v>
      </c>
      <c r="J71" s="290">
        <v>45935</v>
      </c>
      <c r="K71" s="91">
        <f t="shared" si="42"/>
        <v>46664</v>
      </c>
      <c r="L71" s="290">
        <v>45936</v>
      </c>
      <c r="M71" s="91">
        <f t="shared" si="43"/>
        <v>46665</v>
      </c>
      <c r="N71" s="10">
        <v>45974</v>
      </c>
      <c r="O71" s="325">
        <v>46703</v>
      </c>
      <c r="P71" s="10">
        <v>45974</v>
      </c>
      <c r="Q71" s="325">
        <v>46703</v>
      </c>
      <c r="R71" s="18">
        <v>45966</v>
      </c>
      <c r="S71" s="18">
        <v>46695</v>
      </c>
      <c r="T71" s="392" t="s">
        <v>231</v>
      </c>
      <c r="U71" s="392" t="s">
        <v>231</v>
      </c>
      <c r="V71" s="325">
        <v>45978</v>
      </c>
      <c r="W71" s="91">
        <f t="shared" si="34"/>
        <v>46707</v>
      </c>
      <c r="X71" s="17">
        <v>45972</v>
      </c>
      <c r="Y71" s="91">
        <f t="shared" si="39"/>
        <v>46701</v>
      </c>
      <c r="Z71" s="328">
        <v>45989</v>
      </c>
      <c r="AA71" s="91">
        <f t="shared" si="35"/>
        <v>46718</v>
      </c>
      <c r="AB71" s="91">
        <v>45976</v>
      </c>
      <c r="AC71" s="91">
        <f t="shared" si="36"/>
        <v>46705</v>
      </c>
      <c r="AD71" s="91">
        <v>46000</v>
      </c>
      <c r="AE71" s="91">
        <f t="shared" si="37"/>
        <v>46729</v>
      </c>
      <c r="AF71" s="387">
        <v>45933</v>
      </c>
      <c r="AG71" s="91">
        <f t="shared" si="25"/>
        <v>46662</v>
      </c>
      <c r="AH71" s="388">
        <v>45939</v>
      </c>
      <c r="AI71" s="91">
        <f t="shared" si="23"/>
        <v>46668</v>
      </c>
      <c r="AJ71" s="388">
        <v>45940</v>
      </c>
      <c r="AK71" s="91">
        <f t="shared" si="24"/>
        <v>46669</v>
      </c>
      <c r="AL71" s="393">
        <v>45941</v>
      </c>
      <c r="AM71" s="380">
        <f t="shared" si="44"/>
        <v>46305</v>
      </c>
      <c r="AN71" s="393">
        <v>45942</v>
      </c>
      <c r="AO71" s="91">
        <f t="shared" si="45"/>
        <v>46671</v>
      </c>
      <c r="AP71" s="317" t="s">
        <v>232</v>
      </c>
      <c r="AQ71" s="91" t="e">
        <f t="shared" si="46"/>
        <v>#VALUE!</v>
      </c>
      <c r="AR71" s="398" t="s">
        <v>232</v>
      </c>
      <c r="AS71" s="91" t="e">
        <f t="shared" si="47"/>
        <v>#VALUE!</v>
      </c>
      <c r="AT71" s="10"/>
      <c r="AU71" s="91"/>
      <c r="AV71" s="10"/>
      <c r="AW71" s="91"/>
      <c r="AX71" s="11" t="s">
        <v>232</v>
      </c>
      <c r="AY71" s="11" t="s">
        <v>232</v>
      </c>
      <c r="AZ71" s="11" t="s">
        <v>232</v>
      </c>
      <c r="BA71" s="11" t="s">
        <v>232</v>
      </c>
      <c r="BB71" s="11" t="s">
        <v>232</v>
      </c>
      <c r="BC71" s="11" t="s">
        <v>232</v>
      </c>
      <c r="BD71" s="11" t="s">
        <v>232</v>
      </c>
      <c r="BE71" s="11" t="s">
        <v>232</v>
      </c>
      <c r="BF71" s="399" t="s">
        <v>232</v>
      </c>
      <c r="BG71" s="399" t="s">
        <v>232</v>
      </c>
      <c r="BH71" s="317" t="s">
        <v>232</v>
      </c>
      <c r="BI71" s="317" t="s">
        <v>232</v>
      </c>
      <c r="BJ71" s="317" t="s">
        <v>232</v>
      </c>
      <c r="BK71" s="317" t="s">
        <v>232</v>
      </c>
      <c r="BL71" s="11" t="s">
        <v>232</v>
      </c>
      <c r="BM71" s="417" t="e">
        <f t="shared" si="48"/>
        <v>#VALUE!</v>
      </c>
      <c r="BN71" s="11" t="s">
        <v>232</v>
      </c>
      <c r="BO71" s="11" t="s">
        <v>232</v>
      </c>
      <c r="BP71" s="11" t="s">
        <v>232</v>
      </c>
      <c r="BQ71" s="11" t="s">
        <v>232</v>
      </c>
      <c r="BR71" s="11" t="s">
        <v>232</v>
      </c>
      <c r="BS71" s="11" t="s">
        <v>232</v>
      </c>
      <c r="BT71" s="11" t="s">
        <v>232</v>
      </c>
      <c r="BU71" s="10">
        <v>45993</v>
      </c>
      <c r="BV71" s="11" t="s">
        <v>232</v>
      </c>
      <c r="BW71" s="10">
        <v>46007</v>
      </c>
      <c r="BX71" s="11" t="s">
        <v>232</v>
      </c>
      <c r="BY71" s="10">
        <v>45992</v>
      </c>
      <c r="BZ71" s="11" t="s">
        <v>232</v>
      </c>
      <c r="CA71" s="10">
        <v>46007</v>
      </c>
      <c r="CB71" s="399" t="s">
        <v>232</v>
      </c>
      <c r="CC71" s="11" t="s">
        <v>232</v>
      </c>
      <c r="CD71" s="11" t="s">
        <v>232</v>
      </c>
      <c r="CE71" s="70" t="s">
        <v>232</v>
      </c>
      <c r="CF71" s="434">
        <v>46015</v>
      </c>
      <c r="CG71" s="70" t="s">
        <v>232</v>
      </c>
      <c r="CH71" s="70" t="s">
        <v>232</v>
      </c>
      <c r="CI71" s="11" t="s">
        <v>232</v>
      </c>
      <c r="CJ71" s="11" t="s">
        <v>232</v>
      </c>
      <c r="CK71" s="317" t="s">
        <v>232</v>
      </c>
      <c r="CL71" s="427" t="s">
        <v>232</v>
      </c>
      <c r="CM71" s="317" t="s">
        <v>232</v>
      </c>
      <c r="CN71" s="11" t="s">
        <v>232</v>
      </c>
      <c r="CO71" s="11" t="s">
        <v>232</v>
      </c>
      <c r="CP71" s="11" t="s">
        <v>232</v>
      </c>
      <c r="CQ71" s="10">
        <v>46002</v>
      </c>
      <c r="CR71" s="10">
        <v>46002</v>
      </c>
      <c r="CS71" s="10">
        <v>46002</v>
      </c>
      <c r="CT71" s="11" t="s">
        <v>232</v>
      </c>
      <c r="CU71" s="11" t="s">
        <v>232</v>
      </c>
      <c r="CV71" s="11"/>
      <c r="CW71" s="11" t="s">
        <v>232</v>
      </c>
      <c r="CX71" s="11" t="s">
        <v>232</v>
      </c>
      <c r="CY71" s="10">
        <v>45953</v>
      </c>
      <c r="CZ71" s="11"/>
    </row>
    <row r="72" spans="2:104" ht="50.25" customHeight="1">
      <c r="B72" s="331">
        <v>68</v>
      </c>
      <c r="C72" s="295" t="s">
        <v>464</v>
      </c>
      <c r="D72" s="384" t="s">
        <v>465</v>
      </c>
      <c r="E72" s="384" t="s">
        <v>466</v>
      </c>
      <c r="F72" s="385" t="s">
        <v>467</v>
      </c>
      <c r="G72" s="444" t="s">
        <v>232</v>
      </c>
      <c r="H72" s="290">
        <v>45934</v>
      </c>
      <c r="I72" s="91">
        <f t="shared" si="41"/>
        <v>46663</v>
      </c>
      <c r="J72" s="290">
        <v>45935</v>
      </c>
      <c r="K72" s="91">
        <f t="shared" si="42"/>
        <v>46664</v>
      </c>
      <c r="L72" s="290">
        <v>45936</v>
      </c>
      <c r="M72" s="91">
        <f t="shared" si="43"/>
        <v>46665</v>
      </c>
      <c r="N72" s="10">
        <v>45974</v>
      </c>
      <c r="O72" s="325">
        <v>46703</v>
      </c>
      <c r="P72" s="10">
        <v>45974</v>
      </c>
      <c r="Q72" s="325">
        <v>46703</v>
      </c>
      <c r="R72" s="18">
        <v>45966</v>
      </c>
      <c r="S72" s="18">
        <v>46695</v>
      </c>
      <c r="T72" s="392">
        <v>45995</v>
      </c>
      <c r="U72" s="91">
        <f>IF(ISBLANK(T72),"",EDATE(T72,24))-1</f>
        <v>46724</v>
      </c>
      <c r="V72" s="325">
        <v>45978</v>
      </c>
      <c r="W72" s="91">
        <f t="shared" si="34"/>
        <v>46707</v>
      </c>
      <c r="X72" s="17">
        <v>45972</v>
      </c>
      <c r="Y72" s="91">
        <f t="shared" si="39"/>
        <v>46701</v>
      </c>
      <c r="Z72" s="328">
        <v>45989</v>
      </c>
      <c r="AA72" s="91">
        <f t="shared" si="35"/>
        <v>46718</v>
      </c>
      <c r="AB72" s="91">
        <v>45976</v>
      </c>
      <c r="AC72" s="91">
        <f t="shared" si="36"/>
        <v>46705</v>
      </c>
      <c r="AD72" s="91">
        <v>46000</v>
      </c>
      <c r="AE72" s="91">
        <f t="shared" si="37"/>
        <v>46729</v>
      </c>
      <c r="AF72" s="387">
        <v>45933</v>
      </c>
      <c r="AG72" s="91">
        <f t="shared" si="25"/>
        <v>46662</v>
      </c>
      <c r="AH72" s="388">
        <v>45939</v>
      </c>
      <c r="AI72" s="91">
        <f t="shared" si="23"/>
        <v>46668</v>
      </c>
      <c r="AJ72" s="388">
        <v>45940</v>
      </c>
      <c r="AK72" s="91">
        <f t="shared" si="24"/>
        <v>46669</v>
      </c>
      <c r="AL72" s="393">
        <v>45941</v>
      </c>
      <c r="AM72" s="380">
        <f t="shared" si="44"/>
        <v>46305</v>
      </c>
      <c r="AN72" s="393">
        <v>45942</v>
      </c>
      <c r="AO72" s="91">
        <f t="shared" si="45"/>
        <v>46671</v>
      </c>
      <c r="AP72" s="317" t="s">
        <v>232</v>
      </c>
      <c r="AQ72" s="91" t="e">
        <f t="shared" si="46"/>
        <v>#VALUE!</v>
      </c>
      <c r="AR72" s="398" t="s">
        <v>232</v>
      </c>
      <c r="AS72" s="91" t="e">
        <f t="shared" si="47"/>
        <v>#VALUE!</v>
      </c>
      <c r="AT72" s="10"/>
      <c r="AU72" s="91"/>
      <c r="AV72" s="10"/>
      <c r="AW72" s="91"/>
      <c r="AX72" s="11" t="s">
        <v>232</v>
      </c>
      <c r="AY72" s="11" t="s">
        <v>232</v>
      </c>
      <c r="AZ72" s="11" t="s">
        <v>232</v>
      </c>
      <c r="BA72" s="11" t="s">
        <v>232</v>
      </c>
      <c r="BB72" s="11" t="s">
        <v>232</v>
      </c>
      <c r="BC72" s="11" t="s">
        <v>232</v>
      </c>
      <c r="BD72" s="11" t="s">
        <v>232</v>
      </c>
      <c r="BE72" s="11" t="s">
        <v>232</v>
      </c>
      <c r="BF72" s="399" t="s">
        <v>232</v>
      </c>
      <c r="BG72" s="399" t="s">
        <v>232</v>
      </c>
      <c r="BH72" s="317" t="s">
        <v>232</v>
      </c>
      <c r="BI72" s="317" t="s">
        <v>232</v>
      </c>
      <c r="BJ72" s="317" t="s">
        <v>232</v>
      </c>
      <c r="BK72" s="317" t="s">
        <v>232</v>
      </c>
      <c r="BL72" s="11">
        <v>46072</v>
      </c>
      <c r="BM72" s="417">
        <f t="shared" si="48"/>
        <v>46801</v>
      </c>
      <c r="BN72" s="11" t="s">
        <v>232</v>
      </c>
      <c r="BO72" s="11" t="s">
        <v>232</v>
      </c>
      <c r="BP72" s="11" t="s">
        <v>232</v>
      </c>
      <c r="BQ72" s="11" t="s">
        <v>232</v>
      </c>
      <c r="BR72" s="11" t="s">
        <v>232</v>
      </c>
      <c r="BS72" s="11" t="s">
        <v>232</v>
      </c>
      <c r="BT72" s="11" t="s">
        <v>232</v>
      </c>
      <c r="BU72" s="10">
        <v>45993</v>
      </c>
      <c r="BV72" s="11" t="s">
        <v>232</v>
      </c>
      <c r="BW72" s="10">
        <v>46007</v>
      </c>
      <c r="BX72" s="11" t="s">
        <v>232</v>
      </c>
      <c r="BY72" s="10">
        <v>45992</v>
      </c>
      <c r="BZ72" s="11" t="s">
        <v>232</v>
      </c>
      <c r="CA72" s="10">
        <v>46007</v>
      </c>
      <c r="CB72" s="399" t="s">
        <v>232</v>
      </c>
      <c r="CC72" s="11" t="s">
        <v>232</v>
      </c>
      <c r="CD72" s="11" t="s">
        <v>232</v>
      </c>
      <c r="CE72" s="70" t="s">
        <v>232</v>
      </c>
      <c r="CF72" s="434">
        <v>46015</v>
      </c>
      <c r="CG72" s="70" t="s">
        <v>232</v>
      </c>
      <c r="CH72" s="70" t="s">
        <v>232</v>
      </c>
      <c r="CI72" s="11" t="s">
        <v>232</v>
      </c>
      <c r="CJ72" s="11" t="s">
        <v>232</v>
      </c>
      <c r="CK72" s="317" t="s">
        <v>232</v>
      </c>
      <c r="CL72" s="11" t="s">
        <v>232</v>
      </c>
      <c r="CM72" s="317" t="s">
        <v>232</v>
      </c>
      <c r="CN72" s="11" t="s">
        <v>232</v>
      </c>
      <c r="CO72" s="11" t="s">
        <v>232</v>
      </c>
      <c r="CP72" s="11" t="s">
        <v>232</v>
      </c>
      <c r="CQ72" s="10">
        <v>46002</v>
      </c>
      <c r="CR72" s="10">
        <v>46002</v>
      </c>
      <c r="CS72" s="10">
        <v>46002</v>
      </c>
      <c r="CT72" s="11" t="s">
        <v>232</v>
      </c>
      <c r="CU72" s="11" t="s">
        <v>232</v>
      </c>
      <c r="CV72" s="11"/>
      <c r="CW72" s="11" t="s">
        <v>232</v>
      </c>
      <c r="CX72" s="11" t="s">
        <v>232</v>
      </c>
      <c r="CY72" s="11"/>
      <c r="CZ72" s="11"/>
    </row>
    <row r="73" spans="2:104" ht="57.6" customHeight="1">
      <c r="B73" s="331">
        <v>69</v>
      </c>
      <c r="C73" s="330" t="s">
        <v>468</v>
      </c>
      <c r="D73" s="402" t="s">
        <v>469</v>
      </c>
      <c r="E73" s="402" t="s">
        <v>470</v>
      </c>
      <c r="F73" s="403" t="s">
        <v>455</v>
      </c>
      <c r="G73" s="445" t="s">
        <v>471</v>
      </c>
      <c r="H73" s="404">
        <v>45934</v>
      </c>
      <c r="I73" s="91">
        <f t="shared" si="41"/>
        <v>46663</v>
      </c>
      <c r="J73" s="404">
        <v>45935</v>
      </c>
      <c r="K73" s="91">
        <f t="shared" si="42"/>
        <v>46664</v>
      </c>
      <c r="L73" s="404">
        <v>45936</v>
      </c>
      <c r="M73" s="91">
        <f t="shared" si="43"/>
        <v>46665</v>
      </c>
      <c r="N73" s="10">
        <v>45974</v>
      </c>
      <c r="O73" s="325">
        <v>46703</v>
      </c>
      <c r="P73" s="10">
        <v>45974</v>
      </c>
      <c r="Q73" s="325">
        <v>46703</v>
      </c>
      <c r="R73" s="18">
        <v>45966</v>
      </c>
      <c r="S73" s="405">
        <v>46695</v>
      </c>
      <c r="T73" s="386" t="s">
        <v>231</v>
      </c>
      <c r="U73" s="386" t="s">
        <v>231</v>
      </c>
      <c r="V73" s="327">
        <v>45978</v>
      </c>
      <c r="W73" s="91">
        <f t="shared" si="34"/>
        <v>46707</v>
      </c>
      <c r="X73" s="17">
        <v>45972</v>
      </c>
      <c r="Y73" s="91">
        <f t="shared" si="39"/>
        <v>46701</v>
      </c>
      <c r="Z73" s="328">
        <v>45989</v>
      </c>
      <c r="AA73" s="91">
        <f t="shared" si="35"/>
        <v>46718</v>
      </c>
      <c r="AB73" s="91">
        <v>45976</v>
      </c>
      <c r="AC73" s="91">
        <f t="shared" si="36"/>
        <v>46705</v>
      </c>
      <c r="AD73" s="91">
        <v>46000</v>
      </c>
      <c r="AE73" s="91">
        <f t="shared" si="37"/>
        <v>46729</v>
      </c>
      <c r="AF73" s="407">
        <v>45933</v>
      </c>
      <c r="AG73" s="91">
        <f t="shared" si="25"/>
        <v>46662</v>
      </c>
      <c r="AH73" s="395">
        <v>45939</v>
      </c>
      <c r="AI73" s="91">
        <f t="shared" si="23"/>
        <v>46668</v>
      </c>
      <c r="AJ73" s="395">
        <v>45940</v>
      </c>
      <c r="AK73" s="91">
        <f t="shared" si="24"/>
        <v>46669</v>
      </c>
      <c r="AL73" s="408">
        <v>45941</v>
      </c>
      <c r="AM73" s="380">
        <f t="shared" si="44"/>
        <v>46305</v>
      </c>
      <c r="AN73" s="408">
        <v>45942</v>
      </c>
      <c r="AO73" s="91">
        <f t="shared" si="45"/>
        <v>46671</v>
      </c>
      <c r="AP73" s="409" t="s">
        <v>232</v>
      </c>
      <c r="AQ73" s="91" t="e">
        <f t="shared" si="46"/>
        <v>#VALUE!</v>
      </c>
      <c r="AR73" s="410" t="s">
        <v>232</v>
      </c>
      <c r="AS73" s="91" t="e">
        <f t="shared" si="47"/>
        <v>#VALUE!</v>
      </c>
      <c r="AT73" s="10"/>
      <c r="AU73" s="91"/>
      <c r="AV73" s="10"/>
      <c r="AW73" s="91"/>
      <c r="AX73" s="39" t="s">
        <v>232</v>
      </c>
      <c r="AY73" s="39" t="s">
        <v>232</v>
      </c>
      <c r="AZ73" s="39" t="s">
        <v>232</v>
      </c>
      <c r="BA73" s="39" t="s">
        <v>232</v>
      </c>
      <c r="BB73" s="39" t="s">
        <v>232</v>
      </c>
      <c r="BC73" s="39" t="s">
        <v>232</v>
      </c>
      <c r="BD73" s="39" t="s">
        <v>232</v>
      </c>
      <c r="BE73" s="39" t="s">
        <v>232</v>
      </c>
      <c r="BF73" s="401" t="s">
        <v>232</v>
      </c>
      <c r="BG73" s="401" t="s">
        <v>232</v>
      </c>
      <c r="BH73" s="409" t="s">
        <v>232</v>
      </c>
      <c r="BI73" s="409" t="s">
        <v>232</v>
      </c>
      <c r="BJ73" s="409" t="s">
        <v>232</v>
      </c>
      <c r="BK73" s="409" t="s">
        <v>232</v>
      </c>
      <c r="BL73" s="11">
        <v>45937</v>
      </c>
      <c r="BM73" s="417">
        <f t="shared" si="48"/>
        <v>46666</v>
      </c>
      <c r="BN73" s="39" t="s">
        <v>232</v>
      </c>
      <c r="BO73" s="39" t="s">
        <v>232</v>
      </c>
      <c r="BP73" s="39" t="s">
        <v>232</v>
      </c>
      <c r="BQ73" s="39" t="s">
        <v>232</v>
      </c>
      <c r="BR73" s="39" t="s">
        <v>232</v>
      </c>
      <c r="BS73" s="39" t="s">
        <v>232</v>
      </c>
      <c r="BT73" s="39" t="s">
        <v>232</v>
      </c>
      <c r="BU73" s="10">
        <v>45993</v>
      </c>
      <c r="BV73" s="39" t="s">
        <v>232</v>
      </c>
      <c r="BW73" s="10">
        <v>46007</v>
      </c>
      <c r="BX73" s="39" t="s">
        <v>232</v>
      </c>
      <c r="BY73" s="10">
        <v>45992</v>
      </c>
      <c r="BZ73" s="39" t="s">
        <v>232</v>
      </c>
      <c r="CA73" s="10">
        <v>46007</v>
      </c>
      <c r="CB73" s="401" t="s">
        <v>232</v>
      </c>
      <c r="CC73" s="39" t="s">
        <v>232</v>
      </c>
      <c r="CD73" s="39" t="s">
        <v>232</v>
      </c>
      <c r="CE73" s="70" t="s">
        <v>232</v>
      </c>
      <c r="CF73" s="434">
        <v>46015</v>
      </c>
      <c r="CG73" s="70" t="s">
        <v>232</v>
      </c>
      <c r="CH73" s="70" t="s">
        <v>232</v>
      </c>
      <c r="CI73" s="39" t="s">
        <v>232</v>
      </c>
      <c r="CJ73" s="39" t="s">
        <v>232</v>
      </c>
      <c r="CK73" s="409" t="s">
        <v>232</v>
      </c>
      <c r="CL73" s="427" t="s">
        <v>232</v>
      </c>
      <c r="CM73" s="409" t="s">
        <v>232</v>
      </c>
      <c r="CN73" s="39" t="s">
        <v>232</v>
      </c>
      <c r="CO73" s="39" t="s">
        <v>232</v>
      </c>
      <c r="CP73" s="39" t="s">
        <v>232</v>
      </c>
      <c r="CQ73" s="10">
        <v>46002</v>
      </c>
      <c r="CR73" s="10">
        <v>46002</v>
      </c>
      <c r="CS73" s="10">
        <v>46002</v>
      </c>
      <c r="CT73" s="39" t="s">
        <v>232</v>
      </c>
      <c r="CU73" s="39" t="s">
        <v>232</v>
      </c>
      <c r="CV73" s="39"/>
      <c r="CW73" s="39" t="s">
        <v>232</v>
      </c>
      <c r="CX73" s="39" t="s">
        <v>232</v>
      </c>
      <c r="CY73" s="38">
        <v>45953</v>
      </c>
      <c r="CZ73" s="11"/>
    </row>
    <row r="74" spans="2:104" ht="50.25" customHeight="1">
      <c r="B74" s="331">
        <v>70</v>
      </c>
      <c r="C74" s="295" t="s">
        <v>472</v>
      </c>
      <c r="D74" s="384" t="s">
        <v>473</v>
      </c>
      <c r="E74" s="384" t="s">
        <v>474</v>
      </c>
      <c r="F74" s="385" t="s">
        <v>455</v>
      </c>
      <c r="G74" s="445"/>
      <c r="H74" s="290">
        <v>45934</v>
      </c>
      <c r="I74" s="91">
        <f t="shared" si="41"/>
        <v>46663</v>
      </c>
      <c r="J74" s="290"/>
      <c r="K74" s="91" t="e">
        <f t="shared" si="42"/>
        <v>#VALUE!</v>
      </c>
      <c r="L74" s="290"/>
      <c r="M74" s="91" t="e">
        <f t="shared" si="43"/>
        <v>#VALUE!</v>
      </c>
      <c r="N74" s="10">
        <v>45974</v>
      </c>
      <c r="O74" s="325">
        <v>46703</v>
      </c>
      <c r="P74" s="10">
        <v>45974</v>
      </c>
      <c r="Q74" s="325">
        <v>46703</v>
      </c>
      <c r="R74" s="18"/>
      <c r="S74" s="18"/>
      <c r="T74" s="18">
        <v>45995</v>
      </c>
      <c r="U74" s="91">
        <f>IF(ISBLANK(T74),"",EDATE(T74,24))-1</f>
        <v>46724</v>
      </c>
      <c r="V74" s="325">
        <v>45978</v>
      </c>
      <c r="W74" s="91">
        <f t="shared" si="34"/>
        <v>46707</v>
      </c>
      <c r="X74" s="17">
        <v>45972</v>
      </c>
      <c r="Y74" s="91">
        <f t="shared" si="39"/>
        <v>46701</v>
      </c>
      <c r="Z74" s="328">
        <v>45989</v>
      </c>
      <c r="AA74" s="328">
        <v>46718</v>
      </c>
      <c r="AB74" s="91">
        <v>45976</v>
      </c>
      <c r="AC74" s="91">
        <f t="shared" si="36"/>
        <v>46705</v>
      </c>
      <c r="AD74" s="91">
        <v>46000</v>
      </c>
      <c r="AE74" s="91">
        <f t="shared" si="37"/>
        <v>46729</v>
      </c>
      <c r="AF74" s="407">
        <v>45933</v>
      </c>
      <c r="AG74" s="91">
        <f t="shared" si="25"/>
        <v>46662</v>
      </c>
      <c r="AH74" s="395">
        <v>45939</v>
      </c>
      <c r="AI74" s="91">
        <f t="shared" si="23"/>
        <v>46668</v>
      </c>
      <c r="AJ74" s="395">
        <v>45940</v>
      </c>
      <c r="AK74" s="91">
        <f t="shared" si="24"/>
        <v>46669</v>
      </c>
      <c r="AL74" s="408">
        <v>45941</v>
      </c>
      <c r="AM74" s="380">
        <f t="shared" si="44"/>
        <v>46305</v>
      </c>
      <c r="AN74" s="408">
        <v>45942</v>
      </c>
      <c r="AO74" s="91">
        <f t="shared" si="45"/>
        <v>46671</v>
      </c>
      <c r="AP74" s="409"/>
      <c r="AQ74" s="91" t="e">
        <f t="shared" si="46"/>
        <v>#VALUE!</v>
      </c>
      <c r="AR74" s="398"/>
      <c r="AS74" s="91" t="e">
        <f t="shared" si="47"/>
        <v>#VALUE!</v>
      </c>
      <c r="AT74" s="10"/>
      <c r="AU74" s="91"/>
      <c r="AV74" s="10"/>
      <c r="AW74" s="91"/>
      <c r="AX74" s="11"/>
      <c r="AY74" s="11"/>
      <c r="AZ74" s="11"/>
      <c r="BA74" s="11"/>
      <c r="BB74" s="11"/>
      <c r="BC74" s="11"/>
      <c r="BD74" s="11"/>
      <c r="BE74" s="11"/>
      <c r="BF74" s="401"/>
      <c r="BG74" s="401"/>
      <c r="BH74" s="409"/>
      <c r="BI74" s="409"/>
      <c r="BJ74" s="409"/>
      <c r="BK74" s="409"/>
      <c r="BL74" s="11"/>
      <c r="BM74" s="417" t="e">
        <f t="shared" si="48"/>
        <v>#VALUE!</v>
      </c>
      <c r="BN74" s="11"/>
      <c r="BO74" s="11"/>
      <c r="BP74" s="11"/>
      <c r="BQ74" s="11"/>
      <c r="BR74" s="11"/>
      <c r="BS74" s="11"/>
      <c r="BT74" s="11"/>
      <c r="BU74" s="10">
        <v>45993</v>
      </c>
      <c r="BV74" s="11"/>
      <c r="BW74" s="10">
        <v>46007</v>
      </c>
      <c r="BX74" s="11"/>
      <c r="BY74" s="10">
        <v>45992</v>
      </c>
      <c r="BZ74" s="11"/>
      <c r="CA74" s="10">
        <v>46007</v>
      </c>
      <c r="CB74" s="401"/>
      <c r="CC74" s="11"/>
      <c r="CD74" s="11"/>
      <c r="CE74" s="314"/>
      <c r="CF74" s="434">
        <v>46015</v>
      </c>
      <c r="CG74" s="314"/>
      <c r="CH74" s="209"/>
      <c r="CI74" s="11"/>
      <c r="CJ74" s="11"/>
      <c r="CK74" s="409"/>
      <c r="CL74" s="427" t="s">
        <v>232</v>
      </c>
      <c r="CM74" s="317"/>
      <c r="CN74" s="11"/>
      <c r="CO74" s="11"/>
      <c r="CP74" s="11"/>
      <c r="CQ74" s="10">
        <v>46002</v>
      </c>
      <c r="CR74" s="10">
        <v>46002</v>
      </c>
      <c r="CS74" s="10">
        <v>46002</v>
      </c>
      <c r="CT74" s="11"/>
      <c r="CU74" s="11"/>
      <c r="CV74" s="11"/>
      <c r="CW74" s="11"/>
      <c r="CX74" s="11"/>
      <c r="CY74" s="10"/>
      <c r="CZ74" s="11"/>
    </row>
    <row r="75" spans="2:104" ht="50.25" customHeight="1">
      <c r="B75" s="331">
        <v>71</v>
      </c>
      <c r="C75" s="295" t="s">
        <v>475</v>
      </c>
      <c r="D75" s="384" t="s">
        <v>476</v>
      </c>
      <c r="E75" s="384" t="s">
        <v>477</v>
      </c>
      <c r="F75" s="403" t="s">
        <v>455</v>
      </c>
      <c r="G75" s="444"/>
      <c r="H75" s="290">
        <v>45934</v>
      </c>
      <c r="I75" s="91">
        <f t="shared" si="41"/>
        <v>46663</v>
      </c>
      <c r="J75" s="290">
        <v>45935</v>
      </c>
      <c r="K75" s="91">
        <f t="shared" si="42"/>
        <v>46664</v>
      </c>
      <c r="L75" s="290">
        <v>45936</v>
      </c>
      <c r="M75" s="91">
        <f t="shared" si="43"/>
        <v>46665</v>
      </c>
      <c r="N75" s="10">
        <v>45974</v>
      </c>
      <c r="O75" s="325">
        <v>46703</v>
      </c>
      <c r="P75" s="10">
        <v>45974</v>
      </c>
      <c r="Q75" s="325">
        <v>46703</v>
      </c>
      <c r="R75" s="18">
        <v>45966</v>
      </c>
      <c r="S75" s="18">
        <v>46695</v>
      </c>
      <c r="T75" s="386" t="s">
        <v>231</v>
      </c>
      <c r="U75" s="386" t="s">
        <v>231</v>
      </c>
      <c r="V75" s="325">
        <v>45978</v>
      </c>
      <c r="W75" s="91">
        <f t="shared" si="34"/>
        <v>46707</v>
      </c>
      <c r="X75" s="17">
        <v>45972</v>
      </c>
      <c r="Y75" s="91">
        <f t="shared" si="39"/>
        <v>46701</v>
      </c>
      <c r="Z75" s="328">
        <v>45989</v>
      </c>
      <c r="AA75" s="328">
        <v>46718</v>
      </c>
      <c r="AB75" s="91">
        <v>45976</v>
      </c>
      <c r="AC75" s="91">
        <f t="shared" si="36"/>
        <v>46705</v>
      </c>
      <c r="AD75" s="91">
        <v>46000</v>
      </c>
      <c r="AE75" s="91">
        <f t="shared" si="37"/>
        <v>46729</v>
      </c>
      <c r="AF75" s="407">
        <v>45933</v>
      </c>
      <c r="AG75" s="91">
        <f t="shared" si="25"/>
        <v>46662</v>
      </c>
      <c r="AH75" s="395">
        <v>45939</v>
      </c>
      <c r="AI75" s="91">
        <f t="shared" si="23"/>
        <v>46668</v>
      </c>
      <c r="AJ75" s="395">
        <v>45940</v>
      </c>
      <c r="AK75" s="91">
        <f t="shared" si="24"/>
        <v>46669</v>
      </c>
      <c r="AL75" s="408">
        <v>45941</v>
      </c>
      <c r="AM75" s="380">
        <f t="shared" si="44"/>
        <v>46305</v>
      </c>
      <c r="AN75" s="408">
        <v>45942</v>
      </c>
      <c r="AO75" s="91">
        <f t="shared" si="45"/>
        <v>46671</v>
      </c>
      <c r="AP75" s="317"/>
      <c r="AQ75" s="91" t="e">
        <f t="shared" si="46"/>
        <v>#VALUE!</v>
      </c>
      <c r="AR75" s="398"/>
      <c r="AS75" s="91" t="e">
        <f t="shared" si="47"/>
        <v>#VALUE!</v>
      </c>
      <c r="AT75" s="10"/>
      <c r="AU75" s="91"/>
      <c r="AV75" s="10"/>
      <c r="AW75" s="91"/>
      <c r="AX75" s="11"/>
      <c r="AY75" s="11"/>
      <c r="AZ75" s="11"/>
      <c r="BA75" s="11"/>
      <c r="BB75" s="11"/>
      <c r="BC75" s="11"/>
      <c r="BD75" s="11"/>
      <c r="BE75" s="11"/>
      <c r="BF75" s="399"/>
      <c r="BG75" s="399"/>
      <c r="BH75" s="317"/>
      <c r="BI75" s="317"/>
      <c r="BJ75" s="317"/>
      <c r="BK75" s="317"/>
      <c r="BL75" s="11"/>
      <c r="BM75" s="417" t="e">
        <f t="shared" si="48"/>
        <v>#VALUE!</v>
      </c>
      <c r="BN75" s="11"/>
      <c r="BO75" s="11"/>
      <c r="BP75" s="11"/>
      <c r="BQ75" s="11"/>
      <c r="BR75" s="11"/>
      <c r="BS75" s="11"/>
      <c r="BT75" s="11"/>
      <c r="BU75" s="10">
        <v>45993</v>
      </c>
      <c r="BV75" s="11"/>
      <c r="BW75" s="10">
        <v>46007</v>
      </c>
      <c r="BX75" s="11"/>
      <c r="BY75" s="10">
        <v>45992</v>
      </c>
      <c r="BZ75" s="11"/>
      <c r="CA75" s="10">
        <v>46007</v>
      </c>
      <c r="CB75" s="399"/>
      <c r="CC75" s="11"/>
      <c r="CD75" s="11"/>
      <c r="CE75" s="70" t="s">
        <v>232</v>
      </c>
      <c r="CF75" s="434">
        <v>46015</v>
      </c>
      <c r="CG75" s="70" t="s">
        <v>232</v>
      </c>
      <c r="CH75" s="70" t="s">
        <v>232</v>
      </c>
      <c r="CI75" s="11"/>
      <c r="CJ75" s="11"/>
      <c r="CK75" s="317"/>
      <c r="CL75" s="427" t="s">
        <v>232</v>
      </c>
      <c r="CM75" s="317"/>
      <c r="CN75" s="11"/>
      <c r="CO75" s="11"/>
      <c r="CP75" s="11"/>
      <c r="CQ75" s="10">
        <v>46002</v>
      </c>
      <c r="CR75" s="10">
        <v>46002</v>
      </c>
      <c r="CS75" s="10">
        <v>46002</v>
      </c>
      <c r="CT75" s="11"/>
      <c r="CU75" s="11"/>
      <c r="CV75" s="11"/>
      <c r="CW75" s="11"/>
      <c r="CX75" s="11"/>
      <c r="CY75" s="38">
        <v>45953</v>
      </c>
      <c r="CZ75" s="11"/>
    </row>
    <row r="76" spans="2:104" ht="50.25" customHeight="1">
      <c r="B76" s="331">
        <v>72</v>
      </c>
      <c r="C76" s="295" t="s">
        <v>478</v>
      </c>
      <c r="D76" s="384" t="s">
        <v>479</v>
      </c>
      <c r="E76" s="384" t="s">
        <v>480</v>
      </c>
      <c r="F76" s="403" t="s">
        <v>455</v>
      </c>
      <c r="G76" s="444"/>
      <c r="H76" s="290">
        <v>45934</v>
      </c>
      <c r="I76" s="91">
        <f t="shared" si="41"/>
        <v>46663</v>
      </c>
      <c r="J76" s="290">
        <v>45935</v>
      </c>
      <c r="K76" s="91">
        <f t="shared" si="42"/>
        <v>46664</v>
      </c>
      <c r="L76" s="290">
        <v>45936</v>
      </c>
      <c r="M76" s="91">
        <f t="shared" si="43"/>
        <v>46665</v>
      </c>
      <c r="N76" s="10">
        <v>45974</v>
      </c>
      <c r="O76" s="325">
        <v>46703</v>
      </c>
      <c r="P76" s="10">
        <v>45974</v>
      </c>
      <c r="Q76" s="325">
        <v>46703</v>
      </c>
      <c r="R76" s="18">
        <v>45966</v>
      </c>
      <c r="S76" s="18">
        <v>46695</v>
      </c>
      <c r="T76" s="18">
        <v>45995</v>
      </c>
      <c r="U76" s="91">
        <f>IF(ISBLANK(T76),"",EDATE(T76,24))-1</f>
        <v>46724</v>
      </c>
      <c r="V76" s="325">
        <v>45978</v>
      </c>
      <c r="W76" s="91">
        <f t="shared" si="34"/>
        <v>46707</v>
      </c>
      <c r="X76" s="17">
        <v>45972</v>
      </c>
      <c r="Y76" s="91">
        <f t="shared" si="39"/>
        <v>46701</v>
      </c>
      <c r="Z76" s="328">
        <v>45989</v>
      </c>
      <c r="AA76" s="328">
        <v>46718</v>
      </c>
      <c r="AB76" s="91">
        <v>45976</v>
      </c>
      <c r="AC76" s="91">
        <f t="shared" si="36"/>
        <v>46705</v>
      </c>
      <c r="AD76" s="91">
        <v>46000</v>
      </c>
      <c r="AE76" s="91">
        <f t="shared" si="37"/>
        <v>46729</v>
      </c>
      <c r="AF76" s="407">
        <v>45933</v>
      </c>
      <c r="AG76" s="91">
        <f t="shared" si="25"/>
        <v>46662</v>
      </c>
      <c r="AH76" s="395">
        <v>45939</v>
      </c>
      <c r="AI76" s="91">
        <f t="shared" si="23"/>
        <v>46668</v>
      </c>
      <c r="AJ76" s="395">
        <v>45940</v>
      </c>
      <c r="AK76" s="91">
        <f t="shared" si="24"/>
        <v>46669</v>
      </c>
      <c r="AL76" s="408">
        <v>45941</v>
      </c>
      <c r="AM76" s="380">
        <f t="shared" si="44"/>
        <v>46305</v>
      </c>
      <c r="AN76" s="408">
        <v>45942</v>
      </c>
      <c r="AO76" s="91">
        <f t="shared" si="45"/>
        <v>46671</v>
      </c>
      <c r="AP76" s="317"/>
      <c r="AQ76" s="91" t="e">
        <f t="shared" si="46"/>
        <v>#VALUE!</v>
      </c>
      <c r="AR76" s="398"/>
      <c r="AS76" s="91" t="e">
        <f t="shared" si="47"/>
        <v>#VALUE!</v>
      </c>
      <c r="AT76" s="10"/>
      <c r="AU76" s="91"/>
      <c r="AV76" s="10"/>
      <c r="AW76" s="91"/>
      <c r="AX76" s="11"/>
      <c r="AY76" s="11"/>
      <c r="AZ76" s="11"/>
      <c r="BA76" s="11"/>
      <c r="BB76" s="11"/>
      <c r="BC76" s="11"/>
      <c r="BD76" s="11"/>
      <c r="BE76" s="11"/>
      <c r="BF76" s="399"/>
      <c r="BG76" s="399"/>
      <c r="BH76" s="317"/>
      <c r="BI76" s="317"/>
      <c r="BJ76" s="317"/>
      <c r="BK76" s="317"/>
      <c r="BL76" s="11"/>
      <c r="BM76" s="417" t="e">
        <f t="shared" si="48"/>
        <v>#VALUE!</v>
      </c>
      <c r="BN76" s="11"/>
      <c r="BO76" s="11"/>
      <c r="BP76" s="11"/>
      <c r="BQ76" s="11"/>
      <c r="BR76" s="11"/>
      <c r="BS76" s="11"/>
      <c r="BT76" s="11"/>
      <c r="BU76" s="10">
        <v>45993</v>
      </c>
      <c r="BV76" s="11"/>
      <c r="BW76" s="10">
        <v>46007</v>
      </c>
      <c r="BX76" s="11"/>
      <c r="BY76" s="10">
        <v>45992</v>
      </c>
      <c r="BZ76" s="11"/>
      <c r="CA76" s="10">
        <v>46007</v>
      </c>
      <c r="CB76" s="399"/>
      <c r="CC76" s="11"/>
      <c r="CD76" s="11"/>
      <c r="CE76" s="70" t="s">
        <v>232</v>
      </c>
      <c r="CF76" s="434">
        <v>46015</v>
      </c>
      <c r="CG76" s="70" t="s">
        <v>232</v>
      </c>
      <c r="CH76" s="70" t="s">
        <v>232</v>
      </c>
      <c r="CI76" s="11"/>
      <c r="CJ76" s="11"/>
      <c r="CK76" s="317"/>
      <c r="CL76" s="427" t="s">
        <v>232</v>
      </c>
      <c r="CM76" s="317"/>
      <c r="CN76" s="11"/>
      <c r="CO76" s="11"/>
      <c r="CP76" s="11"/>
      <c r="CQ76" s="10">
        <v>46002</v>
      </c>
      <c r="CR76" s="10">
        <v>46002</v>
      </c>
      <c r="CS76" s="10">
        <v>46002</v>
      </c>
      <c r="CT76" s="11"/>
      <c r="CU76" s="11"/>
      <c r="CV76" s="11"/>
      <c r="CW76" s="11"/>
      <c r="CX76" s="11"/>
      <c r="CY76" s="10"/>
      <c r="CZ76" s="11"/>
    </row>
    <row r="77" spans="2:104" ht="50.25" customHeight="1">
      <c r="B77" s="331">
        <v>73</v>
      </c>
      <c r="C77" s="295" t="s">
        <v>481</v>
      </c>
      <c r="D77" s="384" t="s">
        <v>482</v>
      </c>
      <c r="E77" s="384" t="s">
        <v>483</v>
      </c>
      <c r="F77" s="403" t="s">
        <v>455</v>
      </c>
      <c r="G77" s="444"/>
      <c r="H77" s="290">
        <v>45934</v>
      </c>
      <c r="I77" s="91">
        <f t="shared" si="41"/>
        <v>46663</v>
      </c>
      <c r="J77" s="290">
        <v>45935</v>
      </c>
      <c r="K77" s="91">
        <f t="shared" si="42"/>
        <v>46664</v>
      </c>
      <c r="L77" s="290">
        <v>45936</v>
      </c>
      <c r="M77" s="91">
        <f t="shared" si="43"/>
        <v>46665</v>
      </c>
      <c r="N77" s="10">
        <v>45974</v>
      </c>
      <c r="O77" s="325">
        <v>46703</v>
      </c>
      <c r="P77" s="10">
        <v>45974</v>
      </c>
      <c r="Q77" s="325">
        <v>46703</v>
      </c>
      <c r="R77" s="18">
        <v>45966</v>
      </c>
      <c r="S77" s="18">
        <v>46695</v>
      </c>
      <c r="T77" s="18">
        <v>45995</v>
      </c>
      <c r="U77" s="91">
        <f>IF(ISBLANK(T77),"",EDATE(T77,24))-1</f>
        <v>46724</v>
      </c>
      <c r="V77" s="325">
        <v>45978</v>
      </c>
      <c r="W77" s="91">
        <f t="shared" si="34"/>
        <v>46707</v>
      </c>
      <c r="X77" s="17">
        <v>45972</v>
      </c>
      <c r="Y77" s="91">
        <f t="shared" si="39"/>
        <v>46701</v>
      </c>
      <c r="Z77" s="328">
        <v>45989</v>
      </c>
      <c r="AA77" s="328">
        <v>46718</v>
      </c>
      <c r="AB77" s="91">
        <v>45976</v>
      </c>
      <c r="AC77" s="91">
        <f t="shared" si="36"/>
        <v>46705</v>
      </c>
      <c r="AD77" s="91">
        <v>46000</v>
      </c>
      <c r="AE77" s="91">
        <f t="shared" si="37"/>
        <v>46729</v>
      </c>
      <c r="AF77" s="407">
        <v>45933</v>
      </c>
      <c r="AG77" s="91">
        <f t="shared" si="25"/>
        <v>46662</v>
      </c>
      <c r="AH77" s="395">
        <v>45939</v>
      </c>
      <c r="AI77" s="91">
        <f t="shared" si="23"/>
        <v>46668</v>
      </c>
      <c r="AJ77" s="395">
        <v>45940</v>
      </c>
      <c r="AK77" s="91">
        <f t="shared" si="24"/>
        <v>46669</v>
      </c>
      <c r="AL77" s="408">
        <v>45941</v>
      </c>
      <c r="AM77" s="380">
        <f t="shared" si="44"/>
        <v>46305</v>
      </c>
      <c r="AN77" s="408">
        <v>45942</v>
      </c>
      <c r="AO77" s="91">
        <f t="shared" si="45"/>
        <v>46671</v>
      </c>
      <c r="AP77" s="317"/>
      <c r="AQ77" s="91" t="e">
        <f t="shared" si="46"/>
        <v>#VALUE!</v>
      </c>
      <c r="AR77" s="398"/>
      <c r="AS77" s="91" t="e">
        <f t="shared" si="47"/>
        <v>#VALUE!</v>
      </c>
      <c r="AT77" s="10"/>
      <c r="AU77" s="91"/>
      <c r="AV77" s="10"/>
      <c r="AW77" s="91"/>
      <c r="AX77" s="11"/>
      <c r="AY77" s="11"/>
      <c r="AZ77" s="11"/>
      <c r="BA77" s="11"/>
      <c r="BB77" s="11"/>
      <c r="BC77" s="11"/>
      <c r="BD77" s="11"/>
      <c r="BE77" s="11"/>
      <c r="BF77" s="399"/>
      <c r="BG77" s="399"/>
      <c r="BH77" s="317"/>
      <c r="BI77" s="317"/>
      <c r="BJ77" s="317"/>
      <c r="BK77" s="317"/>
      <c r="BL77" s="11"/>
      <c r="BM77" s="417" t="e">
        <f t="shared" si="48"/>
        <v>#VALUE!</v>
      </c>
      <c r="BN77" s="11"/>
      <c r="BO77" s="11"/>
      <c r="BP77" s="11"/>
      <c r="BQ77" s="11"/>
      <c r="BR77" s="11"/>
      <c r="BS77" s="11"/>
      <c r="BT77" s="11"/>
      <c r="BU77" s="10">
        <v>45993</v>
      </c>
      <c r="BV77" s="11"/>
      <c r="BW77" s="10">
        <v>46007</v>
      </c>
      <c r="BX77" s="11"/>
      <c r="BY77" s="10">
        <v>45992</v>
      </c>
      <c r="BZ77" s="11"/>
      <c r="CA77" s="10">
        <v>46007</v>
      </c>
      <c r="CB77" s="399"/>
      <c r="CC77" s="11"/>
      <c r="CD77" s="11"/>
      <c r="CE77" s="70" t="s">
        <v>232</v>
      </c>
      <c r="CF77" s="434">
        <v>46015</v>
      </c>
      <c r="CG77" s="70" t="s">
        <v>232</v>
      </c>
      <c r="CH77" s="70" t="s">
        <v>232</v>
      </c>
      <c r="CI77" s="11"/>
      <c r="CJ77" s="11"/>
      <c r="CK77" s="317"/>
      <c r="CL77" s="427" t="s">
        <v>232</v>
      </c>
      <c r="CM77" s="317"/>
      <c r="CN77" s="11"/>
      <c r="CO77" s="11"/>
      <c r="CP77" s="11"/>
      <c r="CQ77" s="10">
        <v>46002</v>
      </c>
      <c r="CR77" s="10">
        <v>46002</v>
      </c>
      <c r="CS77" s="10">
        <v>46002</v>
      </c>
      <c r="CT77" s="11">
        <v>45947</v>
      </c>
      <c r="CU77" s="11"/>
      <c r="CV77" s="11"/>
      <c r="CW77" s="11"/>
      <c r="CX77" s="11"/>
      <c r="CY77" s="10"/>
      <c r="CZ77" s="11"/>
    </row>
    <row r="78" spans="2:104" ht="50.25" customHeight="1">
      <c r="B78" s="331">
        <v>75</v>
      </c>
      <c r="C78" s="295" t="s">
        <v>116</v>
      </c>
      <c r="D78" s="384" t="s">
        <v>117</v>
      </c>
      <c r="E78" s="384" t="s">
        <v>484</v>
      </c>
      <c r="F78" s="385" t="s">
        <v>422</v>
      </c>
      <c r="G78" s="444" t="s">
        <v>485</v>
      </c>
      <c r="H78" s="290">
        <v>45934</v>
      </c>
      <c r="I78" s="91">
        <f t="shared" si="41"/>
        <v>46663</v>
      </c>
      <c r="J78" s="290">
        <v>45935</v>
      </c>
      <c r="K78" s="91">
        <f t="shared" si="42"/>
        <v>46664</v>
      </c>
      <c r="L78" s="290">
        <v>45936</v>
      </c>
      <c r="M78" s="91">
        <f t="shared" si="43"/>
        <v>46665</v>
      </c>
      <c r="N78" s="10">
        <v>45974</v>
      </c>
      <c r="O78" s="325">
        <v>46703</v>
      </c>
      <c r="P78" s="10">
        <v>45974</v>
      </c>
      <c r="Q78" s="325">
        <v>46703</v>
      </c>
      <c r="R78" s="18">
        <v>45966</v>
      </c>
      <c r="S78" s="18">
        <v>46695</v>
      </c>
      <c r="T78" s="18">
        <v>45995</v>
      </c>
      <c r="U78" s="91">
        <f>IF(ISBLANK(T78),"",EDATE(T78,24))-1</f>
        <v>46724</v>
      </c>
      <c r="V78" s="325">
        <v>45978</v>
      </c>
      <c r="W78" s="91">
        <f>IF(ISBLANK(V78),"",EDATE(V78,24))-1</f>
        <v>46707</v>
      </c>
      <c r="X78" s="17">
        <v>45972</v>
      </c>
      <c r="Y78" s="91">
        <f>IF(ISBLANK(X78),"",EDATE(X78,24))-1</f>
        <v>46701</v>
      </c>
      <c r="Z78" s="328">
        <v>45989</v>
      </c>
      <c r="AA78" s="91">
        <f>IF(ISBLANK(Z78),"",EDATE(Z78,24))-1</f>
        <v>46718</v>
      </c>
      <c r="AB78" s="91">
        <v>45976</v>
      </c>
      <c r="AC78" s="91">
        <f>IF(ISBLANK(AB78),"",EDATE(AB78,24))-1</f>
        <v>46705</v>
      </c>
      <c r="AD78" s="91">
        <v>45998</v>
      </c>
      <c r="AE78" s="91">
        <f>IF(ISBLANK(AD78),"",EDATE(AD78,24))-1</f>
        <v>46727</v>
      </c>
      <c r="AF78" s="407">
        <v>45933</v>
      </c>
      <c r="AG78" s="91">
        <f t="shared" si="25"/>
        <v>46662</v>
      </c>
      <c r="AH78" s="395">
        <v>45939</v>
      </c>
      <c r="AI78" s="91">
        <f t="shared" si="23"/>
        <v>46668</v>
      </c>
      <c r="AJ78" s="395">
        <v>45940</v>
      </c>
      <c r="AK78" s="91">
        <f t="shared" si="24"/>
        <v>46669</v>
      </c>
      <c r="AL78" s="408">
        <v>45941</v>
      </c>
      <c r="AM78" s="380">
        <f t="shared" si="44"/>
        <v>46305</v>
      </c>
      <c r="AN78" s="408">
        <v>45942</v>
      </c>
      <c r="AO78" s="91">
        <f t="shared" si="45"/>
        <v>46671</v>
      </c>
      <c r="AP78" s="317"/>
      <c r="AQ78" s="91" t="e">
        <f t="shared" si="46"/>
        <v>#VALUE!</v>
      </c>
      <c r="AR78" s="398"/>
      <c r="AS78" s="91" t="e">
        <f t="shared" si="47"/>
        <v>#VALUE!</v>
      </c>
      <c r="AT78" s="10"/>
      <c r="AU78" s="91"/>
      <c r="AV78" s="10"/>
      <c r="AW78" s="91"/>
      <c r="AX78" s="11"/>
      <c r="AY78" s="11"/>
      <c r="AZ78" s="11"/>
      <c r="BA78" s="11"/>
      <c r="BB78" s="11"/>
      <c r="BC78" s="11"/>
      <c r="BD78" s="11"/>
      <c r="BE78" s="11"/>
      <c r="BF78" s="399"/>
      <c r="BG78" s="399"/>
      <c r="BH78" s="317"/>
      <c r="BI78" s="317"/>
      <c r="BJ78" s="317"/>
      <c r="BK78" s="317"/>
      <c r="BL78" s="11"/>
      <c r="BM78" s="417" t="e">
        <f t="shared" si="48"/>
        <v>#VALUE!</v>
      </c>
      <c r="BN78" s="11"/>
      <c r="BO78" s="11"/>
      <c r="BP78" s="11"/>
      <c r="BQ78" s="11"/>
      <c r="BR78" s="11"/>
      <c r="BS78" s="11"/>
      <c r="BT78" s="11"/>
      <c r="BU78" s="10">
        <v>45993</v>
      </c>
      <c r="BV78" s="11"/>
      <c r="BW78" s="10">
        <v>46007</v>
      </c>
      <c r="BX78" s="11"/>
      <c r="BY78" s="10">
        <v>45992</v>
      </c>
      <c r="BZ78" s="10">
        <v>46013</v>
      </c>
      <c r="CA78" s="10">
        <v>46007</v>
      </c>
      <c r="CB78" s="399"/>
      <c r="CC78" s="11"/>
      <c r="CD78" s="11"/>
      <c r="CE78" s="70" t="s">
        <v>232</v>
      </c>
      <c r="CF78" s="434">
        <v>46015</v>
      </c>
      <c r="CG78" s="70" t="s">
        <v>232</v>
      </c>
      <c r="CH78" s="70" t="s">
        <v>232</v>
      </c>
      <c r="CI78" s="91">
        <v>46049</v>
      </c>
      <c r="CJ78" s="11"/>
      <c r="CK78" s="317"/>
      <c r="CL78" s="427" t="s">
        <v>232</v>
      </c>
      <c r="CM78" s="317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0"/>
      <c r="CZ78" s="11"/>
    </row>
    <row r="79" spans="2:104" ht="50.25" customHeight="1">
      <c r="B79" s="331">
        <v>76</v>
      </c>
      <c r="C79" s="295" t="s">
        <v>486</v>
      </c>
      <c r="D79" s="384" t="s">
        <v>487</v>
      </c>
      <c r="E79" s="384" t="s">
        <v>488</v>
      </c>
      <c r="F79" s="403" t="s">
        <v>455</v>
      </c>
      <c r="G79" s="444"/>
      <c r="H79" s="290">
        <v>45934</v>
      </c>
      <c r="I79" s="91">
        <f t="shared" si="41"/>
        <v>46663</v>
      </c>
      <c r="J79" s="290">
        <v>45935</v>
      </c>
      <c r="K79" s="91">
        <f t="shared" si="42"/>
        <v>46664</v>
      </c>
      <c r="L79" s="290">
        <v>45936</v>
      </c>
      <c r="M79" s="91">
        <f t="shared" si="43"/>
        <v>46665</v>
      </c>
      <c r="N79" s="10">
        <v>45974</v>
      </c>
      <c r="O79" s="325">
        <v>46703</v>
      </c>
      <c r="P79" s="10">
        <v>45974</v>
      </c>
      <c r="Q79" s="325">
        <v>46703</v>
      </c>
      <c r="R79" s="18">
        <v>45966</v>
      </c>
      <c r="S79" s="18">
        <v>46695</v>
      </c>
      <c r="T79" s="18">
        <v>45995</v>
      </c>
      <c r="U79" s="91">
        <f>IF(ISBLANK(T79),"",EDATE(T79,24))-1</f>
        <v>46724</v>
      </c>
      <c r="V79" s="325">
        <v>45978</v>
      </c>
      <c r="W79" s="91">
        <f>IF(ISBLANK(V79),"",EDATE(V79,24))-1</f>
        <v>46707</v>
      </c>
      <c r="X79" s="17">
        <v>45972</v>
      </c>
      <c r="Y79" s="91">
        <f>IF(ISBLANK(X79),"",EDATE(X79,24))-1</f>
        <v>46701</v>
      </c>
      <c r="Z79" s="328">
        <v>45989</v>
      </c>
      <c r="AA79" s="91">
        <f>IF(ISBLANK(Z79),"",EDATE(Z79,24))-1</f>
        <v>46718</v>
      </c>
      <c r="AB79" s="91">
        <v>45976</v>
      </c>
      <c r="AC79" s="91">
        <f>IF(ISBLANK(AB79),"",EDATE(AB79,24))-1</f>
        <v>46705</v>
      </c>
      <c r="AD79" s="91">
        <v>46000</v>
      </c>
      <c r="AE79" s="91">
        <f>IF(ISBLANK(AD79),"",EDATE(AD79,24))-1</f>
        <v>46729</v>
      </c>
      <c r="AF79" s="407">
        <v>45933</v>
      </c>
      <c r="AG79" s="91">
        <f t="shared" si="25"/>
        <v>46662</v>
      </c>
      <c r="AH79" s="395">
        <v>45939</v>
      </c>
      <c r="AI79" s="91">
        <f t="shared" si="23"/>
        <v>46668</v>
      </c>
      <c r="AJ79" s="395">
        <v>45940</v>
      </c>
      <c r="AK79" s="91">
        <f t="shared" si="24"/>
        <v>46669</v>
      </c>
      <c r="AL79" s="408">
        <v>45941</v>
      </c>
      <c r="AM79" s="380">
        <f t="shared" si="44"/>
        <v>46305</v>
      </c>
      <c r="AN79" s="408">
        <v>45942</v>
      </c>
      <c r="AO79" s="91">
        <f t="shared" si="45"/>
        <v>46671</v>
      </c>
      <c r="AP79" s="317"/>
      <c r="AQ79" s="91" t="e">
        <f t="shared" si="46"/>
        <v>#VALUE!</v>
      </c>
      <c r="AR79" s="398"/>
      <c r="AS79" s="91" t="e">
        <f t="shared" si="47"/>
        <v>#VALUE!</v>
      </c>
      <c r="AT79" s="10"/>
      <c r="AU79" s="91"/>
      <c r="AV79" s="10"/>
      <c r="AW79" s="91"/>
      <c r="AX79" s="11"/>
      <c r="AY79" s="11"/>
      <c r="AZ79" s="11"/>
      <c r="BA79" s="11"/>
      <c r="BB79" s="11"/>
      <c r="BC79" s="11"/>
      <c r="BD79" s="11"/>
      <c r="BE79" s="11"/>
      <c r="BF79" s="399"/>
      <c r="BG79" s="399"/>
      <c r="BH79" s="317"/>
      <c r="BI79" s="317"/>
      <c r="BJ79" s="317"/>
      <c r="BK79" s="317"/>
      <c r="BL79" s="11"/>
      <c r="BM79" s="417" t="e">
        <f t="shared" si="48"/>
        <v>#VALUE!</v>
      </c>
      <c r="BN79" s="11"/>
      <c r="BO79" s="11"/>
      <c r="BP79" s="11"/>
      <c r="BQ79" s="11"/>
      <c r="BR79" s="11"/>
      <c r="BS79" s="11"/>
      <c r="BT79" s="11"/>
      <c r="BU79" s="10">
        <v>45993</v>
      </c>
      <c r="BV79" s="11"/>
      <c r="BW79" s="10">
        <v>46007</v>
      </c>
      <c r="BX79" s="11"/>
      <c r="BY79" s="10">
        <v>45992</v>
      </c>
      <c r="BZ79" s="11"/>
      <c r="CA79" s="10">
        <v>46007</v>
      </c>
      <c r="CB79" s="399"/>
      <c r="CC79" s="11"/>
      <c r="CD79" s="11"/>
      <c r="CE79" s="70" t="s">
        <v>232</v>
      </c>
      <c r="CF79" s="70" t="s">
        <v>232</v>
      </c>
      <c r="CG79" s="70" t="s">
        <v>232</v>
      </c>
      <c r="CH79" s="70" t="s">
        <v>232</v>
      </c>
      <c r="CI79" s="91">
        <v>46049</v>
      </c>
      <c r="CJ79" s="11"/>
      <c r="CK79" s="317"/>
      <c r="CL79" s="427" t="s">
        <v>232</v>
      </c>
      <c r="CM79" s="317"/>
      <c r="CN79" s="11"/>
      <c r="CO79" s="11"/>
      <c r="CP79" s="11"/>
      <c r="CQ79" s="10">
        <v>46002</v>
      </c>
      <c r="CR79" s="10">
        <v>46002</v>
      </c>
      <c r="CS79" s="10">
        <v>46002</v>
      </c>
      <c r="CT79" s="11"/>
      <c r="CU79" s="11"/>
      <c r="CV79" s="11"/>
      <c r="CW79" s="11"/>
      <c r="CX79" s="11"/>
      <c r="CY79" s="10"/>
      <c r="CZ79" s="11"/>
    </row>
    <row r="80" spans="2:104" ht="50.25" customHeight="1">
      <c r="B80" s="331">
        <v>78</v>
      </c>
      <c r="C80" s="295" t="s">
        <v>489</v>
      </c>
      <c r="D80" s="384" t="s">
        <v>490</v>
      </c>
      <c r="E80" s="384" t="s">
        <v>491</v>
      </c>
      <c r="F80" s="385" t="s">
        <v>455</v>
      </c>
      <c r="G80" s="444" t="s">
        <v>232</v>
      </c>
      <c r="H80" s="290">
        <v>45934</v>
      </c>
      <c r="I80" s="91">
        <f t="shared" si="41"/>
        <v>46663</v>
      </c>
      <c r="J80" s="290">
        <v>45935</v>
      </c>
      <c r="K80" s="91">
        <f t="shared" si="42"/>
        <v>46664</v>
      </c>
      <c r="L80" s="290">
        <v>45936</v>
      </c>
      <c r="M80" s="91">
        <f t="shared" si="43"/>
        <v>46665</v>
      </c>
      <c r="N80" s="10">
        <v>45974</v>
      </c>
      <c r="O80" s="421">
        <v>46703</v>
      </c>
      <c r="P80" s="38">
        <v>45974</v>
      </c>
      <c r="Q80" s="421">
        <v>46703</v>
      </c>
      <c r="R80" s="40">
        <v>45966</v>
      </c>
      <c r="S80" s="40">
        <v>46695</v>
      </c>
      <c r="T80" s="40">
        <v>45995</v>
      </c>
      <c r="U80" s="91">
        <f>IF(ISBLANK(T80),"",EDATE(T80,24))-1</f>
        <v>46724</v>
      </c>
      <c r="V80" s="421">
        <v>45978</v>
      </c>
      <c r="W80" s="91">
        <f>IF(ISBLANK(V80),"",EDATE(V80,24))-1</f>
        <v>46707</v>
      </c>
      <c r="X80" s="413">
        <v>45972</v>
      </c>
      <c r="Y80" s="91">
        <f>IF(ISBLANK(X80),"",EDATE(X80,24))-1</f>
        <v>46701</v>
      </c>
      <c r="Z80" s="406">
        <v>45989</v>
      </c>
      <c r="AA80" s="91">
        <f>IF(ISBLANK(Z80),"",EDATE(Z80,24))-1</f>
        <v>46718</v>
      </c>
      <c r="AB80" s="416">
        <v>45976</v>
      </c>
      <c r="AC80" s="91">
        <f>IF(ISBLANK(AB80),"",EDATE(AB80,24))-1</f>
        <v>46705</v>
      </c>
      <c r="AD80" s="406" t="s">
        <v>232</v>
      </c>
      <c r="AE80" s="406" t="s">
        <v>232</v>
      </c>
      <c r="AF80" s="407">
        <v>45933</v>
      </c>
      <c r="AG80" s="416">
        <f t="shared" si="25"/>
        <v>46662</v>
      </c>
      <c r="AH80" s="395">
        <v>45939</v>
      </c>
      <c r="AI80" s="416">
        <f t="shared" si="23"/>
        <v>46668</v>
      </c>
      <c r="AJ80" s="395">
        <v>45940</v>
      </c>
      <c r="AK80" s="416">
        <f t="shared" si="24"/>
        <v>46669</v>
      </c>
      <c r="AL80" s="408">
        <v>45941</v>
      </c>
      <c r="AM80" s="422">
        <v>46305</v>
      </c>
      <c r="AN80" s="408">
        <v>45942</v>
      </c>
      <c r="AO80" s="416">
        <f t="shared" si="45"/>
        <v>46671</v>
      </c>
      <c r="AP80" s="409" t="s">
        <v>232</v>
      </c>
      <c r="AQ80" s="416" t="e">
        <f t="shared" si="46"/>
        <v>#VALUE!</v>
      </c>
      <c r="AR80" s="410" t="s">
        <v>232</v>
      </c>
      <c r="AS80" s="416" t="e">
        <f t="shared" si="47"/>
        <v>#VALUE!</v>
      </c>
      <c r="AT80" s="38"/>
      <c r="AU80" s="416"/>
      <c r="AV80" s="38"/>
      <c r="AW80" s="416"/>
      <c r="AX80" s="39" t="s">
        <v>232</v>
      </c>
      <c r="AY80" s="39" t="s">
        <v>232</v>
      </c>
      <c r="AZ80" s="39" t="s">
        <v>232</v>
      </c>
      <c r="BA80" s="39" t="s">
        <v>232</v>
      </c>
      <c r="BB80" s="39" t="s">
        <v>232</v>
      </c>
      <c r="BC80" s="39" t="s">
        <v>232</v>
      </c>
      <c r="BD80" s="39" t="s">
        <v>232</v>
      </c>
      <c r="BE80" s="39" t="s">
        <v>232</v>
      </c>
      <c r="BF80" s="401" t="s">
        <v>232</v>
      </c>
      <c r="BG80" s="401" t="s">
        <v>232</v>
      </c>
      <c r="BH80" s="409" t="s">
        <v>232</v>
      </c>
      <c r="BI80" s="409" t="s">
        <v>232</v>
      </c>
      <c r="BJ80" s="409" t="s">
        <v>232</v>
      </c>
      <c r="BK80" s="409" t="s">
        <v>232</v>
      </c>
      <c r="BL80" s="39" t="s">
        <v>232</v>
      </c>
      <c r="BM80" s="417" t="e">
        <f t="shared" si="48"/>
        <v>#VALUE!</v>
      </c>
      <c r="BN80" s="39" t="s">
        <v>232</v>
      </c>
      <c r="BO80" s="39" t="s">
        <v>232</v>
      </c>
      <c r="BP80" s="39" t="s">
        <v>232</v>
      </c>
      <c r="BQ80" s="39" t="s">
        <v>232</v>
      </c>
      <c r="BR80" s="39" t="s">
        <v>232</v>
      </c>
      <c r="BS80" s="39" t="s">
        <v>232</v>
      </c>
      <c r="BT80" s="39" t="s">
        <v>232</v>
      </c>
      <c r="BU80" s="39" t="s">
        <v>232</v>
      </c>
      <c r="BV80" s="39" t="s">
        <v>232</v>
      </c>
      <c r="BW80" s="39" t="s">
        <v>232</v>
      </c>
      <c r="BX80" s="39" t="s">
        <v>232</v>
      </c>
      <c r="BY80" s="38">
        <v>45992</v>
      </c>
      <c r="BZ80" s="39" t="s">
        <v>232</v>
      </c>
      <c r="CA80" s="39" t="s">
        <v>232</v>
      </c>
      <c r="CB80" s="401" t="s">
        <v>232</v>
      </c>
      <c r="CC80" s="39" t="s">
        <v>232</v>
      </c>
      <c r="CD80" s="39" t="s">
        <v>232</v>
      </c>
      <c r="CE80" s="423" t="s">
        <v>232</v>
      </c>
      <c r="CF80" s="434">
        <v>46015</v>
      </c>
      <c r="CG80" s="423" t="s">
        <v>232</v>
      </c>
      <c r="CH80" s="423" t="s">
        <v>232</v>
      </c>
      <c r="CI80" s="91">
        <v>46049</v>
      </c>
      <c r="CJ80" s="39" t="s">
        <v>232</v>
      </c>
      <c r="CK80" s="409" t="s">
        <v>232</v>
      </c>
      <c r="CL80" s="39" t="s">
        <v>232</v>
      </c>
      <c r="CM80" s="409" t="s">
        <v>232</v>
      </c>
      <c r="CN80" s="39" t="s">
        <v>232</v>
      </c>
      <c r="CO80" s="39" t="s">
        <v>232</v>
      </c>
      <c r="CP80" s="39" t="s">
        <v>232</v>
      </c>
      <c r="CQ80" s="10">
        <v>46002</v>
      </c>
      <c r="CR80" s="10">
        <v>46002</v>
      </c>
      <c r="CS80" s="10">
        <v>46002</v>
      </c>
      <c r="CT80" s="39" t="s">
        <v>232</v>
      </c>
      <c r="CU80" s="39" t="s">
        <v>232</v>
      </c>
      <c r="CV80" s="39">
        <v>46070</v>
      </c>
      <c r="CW80" s="39" t="s">
        <v>232</v>
      </c>
      <c r="CX80" s="39" t="s">
        <v>232</v>
      </c>
      <c r="CY80" s="39"/>
      <c r="CZ80" s="39"/>
    </row>
    <row r="81" spans="2:104" ht="80.25" customHeight="1">
      <c r="B81" s="331">
        <v>79</v>
      </c>
      <c r="C81" s="295" t="s">
        <v>492</v>
      </c>
      <c r="D81" s="384" t="s">
        <v>493</v>
      </c>
      <c r="E81" s="384" t="s">
        <v>494</v>
      </c>
      <c r="F81" s="385" t="s">
        <v>229</v>
      </c>
      <c r="G81" s="440" t="s">
        <v>495</v>
      </c>
      <c r="H81" s="290">
        <v>45934</v>
      </c>
      <c r="I81" s="91">
        <f t="shared" si="41"/>
        <v>46663</v>
      </c>
      <c r="J81" s="290">
        <v>45935</v>
      </c>
      <c r="K81" s="91">
        <f t="shared" si="42"/>
        <v>46664</v>
      </c>
      <c r="L81" s="290">
        <v>45936</v>
      </c>
      <c r="M81" s="91">
        <f t="shared" si="43"/>
        <v>46665</v>
      </c>
      <c r="N81" s="390">
        <v>45974</v>
      </c>
      <c r="O81" s="10">
        <v>46703</v>
      </c>
      <c r="P81" s="10">
        <v>45974</v>
      </c>
      <c r="Q81" s="10">
        <v>46703</v>
      </c>
      <c r="R81" s="11">
        <v>45966</v>
      </c>
      <c r="S81" s="11">
        <v>46695</v>
      </c>
      <c r="T81" s="11" t="s">
        <v>231</v>
      </c>
      <c r="U81" s="11" t="s">
        <v>231</v>
      </c>
      <c r="V81" s="10">
        <v>45978</v>
      </c>
      <c r="W81" s="91">
        <f>IF(ISBLANK(V81),"",EDATE(V81,24))-1</f>
        <v>46707</v>
      </c>
      <c r="X81" s="10">
        <v>45972</v>
      </c>
      <c r="Y81" s="91">
        <f>IF(ISBLANK(X81),"",EDATE(X81,24))-1</f>
        <v>46701</v>
      </c>
      <c r="Z81" s="11">
        <v>45989</v>
      </c>
      <c r="AA81" s="91">
        <f>IF(ISBLANK(Z81),"",EDATE(Z81,24))-1</f>
        <v>46718</v>
      </c>
      <c r="AB81" s="90">
        <v>45976</v>
      </c>
      <c r="AC81" s="91">
        <f>IF(ISBLANK(AB81),"",EDATE(AB81,24))-1</f>
        <v>46705</v>
      </c>
      <c r="AD81" s="90" t="s">
        <v>231</v>
      </c>
      <c r="AE81" s="90" t="s">
        <v>231</v>
      </c>
      <c r="AF81" s="387">
        <v>45933</v>
      </c>
      <c r="AG81" s="90">
        <f t="shared" si="25"/>
        <v>46662</v>
      </c>
      <c r="AH81" s="388">
        <v>45939</v>
      </c>
      <c r="AI81" s="90">
        <f t="shared" si="23"/>
        <v>46668</v>
      </c>
      <c r="AJ81" s="388">
        <v>45945</v>
      </c>
      <c r="AK81" s="90">
        <f t="shared" si="24"/>
        <v>46674</v>
      </c>
      <c r="AL81" s="388">
        <v>45941</v>
      </c>
      <c r="AM81" s="424">
        <v>46305</v>
      </c>
      <c r="AN81" s="388">
        <v>45942</v>
      </c>
      <c r="AO81" s="90">
        <f t="shared" si="45"/>
        <v>46671</v>
      </c>
      <c r="AP81" s="285"/>
      <c r="AQ81" s="90" t="e">
        <f t="shared" si="46"/>
        <v>#VALUE!</v>
      </c>
      <c r="AR81" s="398"/>
      <c r="AS81" s="90" t="e">
        <f t="shared" si="47"/>
        <v>#VALUE!</v>
      </c>
      <c r="AT81" s="11"/>
      <c r="AU81" s="11"/>
      <c r="AV81" s="11"/>
      <c r="AW81" s="11"/>
      <c r="AX81" s="11"/>
      <c r="AY81" s="11"/>
      <c r="AZ81" s="11">
        <v>45949</v>
      </c>
      <c r="BA81" s="90">
        <f>IF(ISBLANK(AZ81),"",EDATE(AZ81,24))-1</f>
        <v>46678</v>
      </c>
      <c r="BB81" s="11"/>
      <c r="BC81" s="11"/>
      <c r="BD81" s="11"/>
      <c r="BE81" s="11"/>
      <c r="BF81" s="11" t="s">
        <v>232</v>
      </c>
      <c r="BG81" s="11" t="s">
        <v>232</v>
      </c>
      <c r="BH81" s="285">
        <v>45948</v>
      </c>
      <c r="BI81" s="90">
        <f>IF(ISBLANK(BH81),"",EDATE(BH81,24))-1</f>
        <v>46677</v>
      </c>
      <c r="BJ81" s="285" t="s">
        <v>232</v>
      </c>
      <c r="BK81" s="285" t="s">
        <v>232</v>
      </c>
      <c r="BL81" s="11"/>
      <c r="BM81" s="417" t="e">
        <f t="shared" si="48"/>
        <v>#VALUE!</v>
      </c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425" t="s">
        <v>232</v>
      </c>
      <c r="CF81" s="434">
        <v>46015</v>
      </c>
      <c r="CG81" s="425" t="s">
        <v>232</v>
      </c>
      <c r="CH81" s="425" t="s">
        <v>232</v>
      </c>
      <c r="CI81" s="11"/>
      <c r="CJ81" s="11"/>
      <c r="CK81" s="285"/>
      <c r="CL81" s="427" t="s">
        <v>232</v>
      </c>
      <c r="CM81" s="285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0"/>
      <c r="CZ81" s="11"/>
    </row>
    <row r="82" spans="2:104" ht="75" customHeight="1">
      <c r="B82" s="331">
        <v>80</v>
      </c>
      <c r="C82" s="295" t="s">
        <v>496</v>
      </c>
      <c r="D82" s="384" t="s">
        <v>497</v>
      </c>
      <c r="E82" s="384" t="s">
        <v>498</v>
      </c>
      <c r="F82" s="411" t="s">
        <v>327</v>
      </c>
      <c r="G82" s="444" t="s">
        <v>232</v>
      </c>
      <c r="H82" s="412">
        <v>46062</v>
      </c>
      <c r="I82" s="91">
        <f t="shared" si="41"/>
        <v>46791</v>
      </c>
      <c r="J82" s="290">
        <v>46028</v>
      </c>
      <c r="K82" s="91">
        <f t="shared" si="42"/>
        <v>46757</v>
      </c>
      <c r="L82" s="319">
        <v>46058</v>
      </c>
      <c r="M82" s="91">
        <f t="shared" si="43"/>
        <v>46787</v>
      </c>
      <c r="N82" s="418"/>
      <c r="O82" s="11"/>
      <c r="P82" s="11"/>
      <c r="Q82" s="11"/>
      <c r="R82" s="11" t="s">
        <v>231</v>
      </c>
      <c r="S82" s="11" t="s">
        <v>231</v>
      </c>
      <c r="T82" s="11"/>
      <c r="U82" s="11"/>
      <c r="V82" s="11" t="s">
        <v>231</v>
      </c>
      <c r="W82" s="11" t="s">
        <v>231</v>
      </c>
      <c r="X82" s="11"/>
      <c r="Y82" s="11"/>
      <c r="Z82" s="11"/>
      <c r="AA82" s="11"/>
      <c r="AB82" s="11"/>
      <c r="AC82" s="11"/>
      <c r="AD82" s="400">
        <v>45998</v>
      </c>
      <c r="AE82" s="91">
        <f>IF(ISBLANK(AD82),"",EDATE(AD82,24))-1</f>
        <v>46727</v>
      </c>
      <c r="AF82" s="387">
        <v>46065</v>
      </c>
      <c r="AG82" s="90">
        <f t="shared" si="25"/>
        <v>46794</v>
      </c>
      <c r="AH82" s="91">
        <v>46056</v>
      </c>
      <c r="AI82" s="90">
        <f t="shared" si="23"/>
        <v>46785</v>
      </c>
      <c r="AJ82" s="91">
        <v>46063</v>
      </c>
      <c r="AK82" s="91">
        <f t="shared" si="24"/>
        <v>46792</v>
      </c>
      <c r="AL82" s="91">
        <v>46069</v>
      </c>
      <c r="AM82" s="91">
        <f>IF(ISBLANK(AL82),"",EDATE(AL82,12))-1</f>
        <v>46433</v>
      </c>
      <c r="AN82" s="388">
        <v>46032</v>
      </c>
      <c r="AO82" s="90">
        <f t="shared" si="45"/>
        <v>46761</v>
      </c>
      <c r="AP82" s="90">
        <v>46064</v>
      </c>
      <c r="AQ82" s="90">
        <f t="shared" si="46"/>
        <v>46793</v>
      </c>
      <c r="AR82" s="398"/>
      <c r="AS82" s="90" t="e">
        <f t="shared" si="47"/>
        <v>#VALUE!</v>
      </c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 t="s">
        <v>232</v>
      </c>
      <c r="BG82" s="11" t="s">
        <v>232</v>
      </c>
      <c r="BH82" s="285" t="s">
        <v>232</v>
      </c>
      <c r="BI82" s="285" t="s">
        <v>232</v>
      </c>
      <c r="BJ82" s="285" t="s">
        <v>232</v>
      </c>
      <c r="BK82" s="285" t="s">
        <v>232</v>
      </c>
      <c r="BL82" s="11">
        <v>46072</v>
      </c>
      <c r="BM82" s="417">
        <f t="shared" si="48"/>
        <v>46801</v>
      </c>
      <c r="BN82" s="11"/>
      <c r="BO82" s="11"/>
      <c r="BP82" s="11"/>
      <c r="BQ82" s="10">
        <v>46010</v>
      </c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09"/>
      <c r="CF82" s="109"/>
      <c r="CG82" s="109"/>
      <c r="CH82" s="209"/>
      <c r="CI82" s="11"/>
      <c r="CJ82" s="11"/>
      <c r="CK82" s="285"/>
      <c r="CL82" s="427" t="s">
        <v>232</v>
      </c>
      <c r="CM82" s="285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0"/>
      <c r="CZ82" s="11"/>
    </row>
    <row r="83" spans="2:104" ht="61.15" customHeight="1">
      <c r="B83" s="331">
        <v>82</v>
      </c>
      <c r="C83" s="295" t="s">
        <v>499</v>
      </c>
      <c r="D83" s="433" t="s">
        <v>500</v>
      </c>
      <c r="E83" s="433" t="s">
        <v>501</v>
      </c>
      <c r="F83" s="432" t="s">
        <v>502</v>
      </c>
      <c r="G83" s="446"/>
      <c r="H83" s="98">
        <v>46062</v>
      </c>
      <c r="I83" s="10">
        <f t="shared" si="41"/>
        <v>46791</v>
      </c>
      <c r="J83" s="290">
        <v>46028</v>
      </c>
      <c r="K83" s="91">
        <f t="shared" si="42"/>
        <v>46757</v>
      </c>
      <c r="L83" s="319">
        <v>46058</v>
      </c>
      <c r="M83" s="91">
        <f t="shared" si="43"/>
        <v>46787</v>
      </c>
      <c r="N83" s="11"/>
      <c r="O83" s="11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400"/>
      <c r="AA83" s="400"/>
      <c r="AB83" s="400"/>
      <c r="AC83" s="400"/>
      <c r="AD83" s="400">
        <v>45998</v>
      </c>
      <c r="AE83" s="91">
        <f>IF(ISBLANK(AD83),"",EDATE(AD83,24))-1</f>
        <v>46727</v>
      </c>
      <c r="AF83" s="387">
        <v>46065</v>
      </c>
      <c r="AG83" s="90">
        <f t="shared" si="25"/>
        <v>46794</v>
      </c>
      <c r="AH83" s="91">
        <v>46056</v>
      </c>
      <c r="AI83" s="90">
        <f t="shared" si="23"/>
        <v>46785</v>
      </c>
      <c r="AJ83" s="91">
        <v>46063</v>
      </c>
      <c r="AK83" s="91">
        <f t="shared" si="24"/>
        <v>46792</v>
      </c>
      <c r="AL83" s="395"/>
      <c r="AM83" s="38"/>
      <c r="AN83" s="388">
        <v>46032</v>
      </c>
      <c r="AO83" s="90">
        <f t="shared" si="45"/>
        <v>46761</v>
      </c>
      <c r="AP83" s="285">
        <v>46064</v>
      </c>
      <c r="AQ83" s="90">
        <f t="shared" si="46"/>
        <v>46793</v>
      </c>
      <c r="AR83" s="398"/>
      <c r="AS83" s="90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285"/>
      <c r="BI83" s="285"/>
      <c r="BJ83" s="285"/>
      <c r="BK83" s="285"/>
      <c r="BL83" s="11">
        <v>46072</v>
      </c>
      <c r="BM83" s="417">
        <f t="shared" si="48"/>
        <v>46801</v>
      </c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401"/>
      <c r="CC83" s="11"/>
      <c r="CD83" s="11"/>
      <c r="CE83" s="314"/>
      <c r="CF83" s="314"/>
      <c r="CG83" s="314"/>
      <c r="CH83" s="209"/>
      <c r="CI83" s="11"/>
      <c r="CJ83" s="11"/>
      <c r="CK83" s="285"/>
      <c r="CL83" s="11"/>
      <c r="CM83" s="317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0"/>
      <c r="CZ83" s="11"/>
    </row>
    <row r="84" spans="2:104" ht="61.15" customHeight="1">
      <c r="B84" s="331">
        <v>83</v>
      </c>
      <c r="C84" s="33" t="s">
        <v>503</v>
      </c>
      <c r="D84" s="384" t="s">
        <v>504</v>
      </c>
      <c r="E84" s="384" t="s">
        <v>505</v>
      </c>
      <c r="F84" s="9" t="s">
        <v>437</v>
      </c>
      <c r="G84" s="446"/>
      <c r="H84" s="98">
        <v>46062</v>
      </c>
      <c r="I84" s="10">
        <f>IF(ISBLANK(H84),"",EDATE(H84,24))</f>
        <v>46792</v>
      </c>
      <c r="J84" s="98"/>
      <c r="K84" s="90"/>
      <c r="L84" s="319">
        <v>46058</v>
      </c>
      <c r="M84" s="91">
        <f t="shared" si="43"/>
        <v>46787</v>
      </c>
      <c r="N84" s="11"/>
      <c r="O84" s="11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400"/>
      <c r="AA84" s="400"/>
      <c r="AB84" s="400"/>
      <c r="AC84" s="400"/>
      <c r="AD84" s="400"/>
      <c r="AE84" s="394"/>
      <c r="AF84" s="387">
        <v>46065</v>
      </c>
      <c r="AG84" s="90">
        <f t="shared" si="25"/>
        <v>46794</v>
      </c>
      <c r="AH84" s="91">
        <v>46056</v>
      </c>
      <c r="AI84" s="90">
        <f t="shared" si="23"/>
        <v>46785</v>
      </c>
      <c r="AJ84" s="91">
        <v>46063</v>
      </c>
      <c r="AK84" s="91">
        <f t="shared" si="24"/>
        <v>46792</v>
      </c>
      <c r="AL84" s="91">
        <v>46069</v>
      </c>
      <c r="AM84" s="91">
        <f>IF(ISBLANK(AL84),"",EDATE(AL84,12))-1</f>
        <v>46433</v>
      </c>
      <c r="AN84" s="395"/>
      <c r="AO84" s="10">
        <f>IF(ISBLANK(AJ84),"",EDATE(AJ84,24))</f>
        <v>46793</v>
      </c>
      <c r="AP84" s="90">
        <v>46064</v>
      </c>
      <c r="AQ84" s="90">
        <f t="shared" si="46"/>
        <v>46793</v>
      </c>
      <c r="AR84" s="398"/>
      <c r="AS84" s="90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285"/>
      <c r="BI84" s="285"/>
      <c r="BJ84" s="285"/>
      <c r="BK84" s="285"/>
      <c r="BL84" s="11">
        <v>46072</v>
      </c>
      <c r="BM84" s="417">
        <f t="shared" si="48"/>
        <v>46801</v>
      </c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401"/>
      <c r="CC84" s="11"/>
      <c r="CD84" s="11"/>
      <c r="CE84" s="314"/>
      <c r="CF84" s="314"/>
      <c r="CG84" s="314"/>
      <c r="CH84" s="209"/>
      <c r="CI84" s="11"/>
      <c r="CJ84" s="11"/>
      <c r="CK84" s="285"/>
      <c r="CL84" s="11"/>
      <c r="CM84" s="317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0"/>
      <c r="CZ84" s="11"/>
    </row>
    <row r="85" spans="2:104" ht="50.25" customHeight="1">
      <c r="B85" s="331">
        <v>84</v>
      </c>
      <c r="C85" s="295" t="s">
        <v>506</v>
      </c>
      <c r="D85" s="384" t="s">
        <v>100</v>
      </c>
      <c r="E85" s="384" t="s">
        <v>507</v>
      </c>
      <c r="F85" s="411" t="s">
        <v>339</v>
      </c>
      <c r="G85" s="447" t="s">
        <v>508</v>
      </c>
      <c r="H85" s="98">
        <v>46062</v>
      </c>
      <c r="I85" s="91">
        <f t="shared" ref="I85:I92" si="49">IF(ISBLANK(H85),"",EDATE(H85,24))-1</f>
        <v>46791</v>
      </c>
      <c r="J85" s="290">
        <v>46028</v>
      </c>
      <c r="K85" s="91">
        <f>IF(ISBLANK(J85),"",EDATE(J85,24))-1</f>
        <v>46757</v>
      </c>
      <c r="L85" s="319">
        <v>46058</v>
      </c>
      <c r="M85" s="91">
        <f t="shared" si="43"/>
        <v>46787</v>
      </c>
      <c r="N85" s="39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387">
        <v>46065</v>
      </c>
      <c r="AG85" s="90">
        <f t="shared" si="25"/>
        <v>46794</v>
      </c>
      <c r="AH85" s="91">
        <v>46056</v>
      </c>
      <c r="AI85" s="90">
        <f t="shared" si="23"/>
        <v>46785</v>
      </c>
      <c r="AJ85" s="91">
        <v>46063</v>
      </c>
      <c r="AK85" s="91">
        <f t="shared" si="24"/>
        <v>46792</v>
      </c>
      <c r="AL85" s="91">
        <v>46069</v>
      </c>
      <c r="AM85" s="91">
        <f>IF(ISBLANK(AL85),"",EDATE(AL85,12))-1</f>
        <v>46433</v>
      </c>
      <c r="AN85" s="388">
        <v>46032</v>
      </c>
      <c r="AO85" s="90">
        <f t="shared" ref="AO85:AO90" si="50">IF(ISBLANK(AN85),"",EDATE(AN85,24))-1</f>
        <v>46761</v>
      </c>
      <c r="AP85" s="90">
        <v>46064</v>
      </c>
      <c r="AQ85" s="90">
        <f t="shared" si="46"/>
        <v>46793</v>
      </c>
      <c r="AR85" s="238"/>
      <c r="AS85" s="90" t="e">
        <f>IF(ISBLANK(AR85),"",EDATE(AR85,24))-1</f>
        <v>#VALUE!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426"/>
      <c r="BI85" s="426"/>
      <c r="BJ85" s="426"/>
      <c r="BK85" s="426"/>
      <c r="BL85" s="11">
        <v>46072</v>
      </c>
      <c r="BM85" s="417">
        <f t="shared" si="48"/>
        <v>46801</v>
      </c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425" t="s">
        <v>232</v>
      </c>
      <c r="CF85" s="425" t="s">
        <v>232</v>
      </c>
      <c r="CG85" s="425" t="s">
        <v>232</v>
      </c>
      <c r="CH85" s="425" t="s">
        <v>232</v>
      </c>
      <c r="CI85" s="91">
        <v>46049</v>
      </c>
      <c r="CJ85" s="10"/>
      <c r="CK85" s="426"/>
      <c r="CL85" s="10"/>
      <c r="CM85" s="90"/>
      <c r="CN85" s="10"/>
      <c r="CO85" s="10"/>
      <c r="CP85" s="10"/>
      <c r="CQ85" s="10"/>
      <c r="CR85" s="10"/>
      <c r="CS85" s="10"/>
      <c r="CT85" s="10"/>
      <c r="CU85" s="10"/>
      <c r="CV85" s="10">
        <v>46070</v>
      </c>
      <c r="CW85" s="10"/>
      <c r="CX85" s="10"/>
      <c r="CY85" s="10"/>
      <c r="CZ85" s="10"/>
    </row>
    <row r="86" spans="2:104" ht="50.25" customHeight="1">
      <c r="B86" s="331">
        <v>85</v>
      </c>
      <c r="C86" s="295" t="s">
        <v>509</v>
      </c>
      <c r="D86" s="384" t="s">
        <v>288</v>
      </c>
      <c r="E86" s="384" t="s">
        <v>510</v>
      </c>
      <c r="F86" s="385" t="s">
        <v>511</v>
      </c>
      <c r="G86" s="440" t="s">
        <v>512</v>
      </c>
      <c r="H86" s="98">
        <v>46062</v>
      </c>
      <c r="I86" s="91">
        <f t="shared" si="49"/>
        <v>46791</v>
      </c>
      <c r="J86" s="290">
        <v>46028</v>
      </c>
      <c r="K86" s="91">
        <f>IF(ISBLANK(J86),"",EDATE(J86,24))-1</f>
        <v>46757</v>
      </c>
      <c r="L86" s="319">
        <v>46058</v>
      </c>
      <c r="M86" s="91">
        <f t="shared" si="43"/>
        <v>46787</v>
      </c>
      <c r="N86" s="419" t="s">
        <v>231</v>
      </c>
      <c r="O86" s="427" t="s">
        <v>231</v>
      </c>
      <c r="P86" s="427" t="s">
        <v>231</v>
      </c>
      <c r="Q86" s="427" t="s">
        <v>231</v>
      </c>
      <c r="R86" s="10"/>
      <c r="S86" s="10"/>
      <c r="T86" s="10"/>
      <c r="U86" s="10"/>
      <c r="V86" s="427" t="s">
        <v>231</v>
      </c>
      <c r="W86" s="427" t="s">
        <v>231</v>
      </c>
      <c r="X86" s="10"/>
      <c r="Y86" s="10"/>
      <c r="Z86" s="10"/>
      <c r="AA86" s="10"/>
      <c r="AB86" s="10"/>
      <c r="AC86" s="10"/>
      <c r="AD86" s="10"/>
      <c r="AE86" s="10"/>
      <c r="AF86" s="387">
        <v>46065</v>
      </c>
      <c r="AG86" s="90">
        <f t="shared" si="25"/>
        <v>46794</v>
      </c>
      <c r="AH86" s="10"/>
      <c r="AI86" s="90" t="e">
        <f t="shared" si="23"/>
        <v>#VALUE!</v>
      </c>
      <c r="AJ86" s="91">
        <v>46063</v>
      </c>
      <c r="AK86" s="91">
        <f t="shared" si="24"/>
        <v>46792</v>
      </c>
      <c r="AL86" s="91">
        <v>46069</v>
      </c>
      <c r="AM86" s="91">
        <f>IF(ISBLANK(AL86),"",EDATE(AL86,12))-1</f>
        <v>46433</v>
      </c>
      <c r="AN86" s="388">
        <v>46032</v>
      </c>
      <c r="AO86" s="90">
        <f t="shared" si="50"/>
        <v>46761</v>
      </c>
      <c r="AP86" s="90">
        <v>46064</v>
      </c>
      <c r="AQ86" s="90">
        <f t="shared" si="46"/>
        <v>46793</v>
      </c>
      <c r="AR86" s="238"/>
      <c r="AS86" s="90" t="e">
        <f>IF(ISBLANK(AR86),"",EDATE(AR86,24))-1</f>
        <v>#VALUE!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426"/>
      <c r="BI86" s="426"/>
      <c r="BJ86" s="426"/>
      <c r="BK86" s="426"/>
      <c r="BL86" s="11">
        <v>46072</v>
      </c>
      <c r="BM86" s="417">
        <f t="shared" si="48"/>
        <v>46801</v>
      </c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9"/>
      <c r="CF86" s="109"/>
      <c r="CG86" s="109"/>
      <c r="CH86" s="209"/>
      <c r="CI86" s="10"/>
      <c r="CJ86" s="10"/>
      <c r="CK86" s="426"/>
      <c r="CL86" s="10"/>
      <c r="CM86" s="90"/>
      <c r="CN86" s="10"/>
      <c r="CO86" s="10"/>
      <c r="CP86" s="10"/>
      <c r="CQ86" s="10"/>
      <c r="CR86" s="10"/>
      <c r="CS86" s="10"/>
      <c r="CT86" s="10"/>
      <c r="CU86" s="10"/>
      <c r="CV86" s="10">
        <v>46070</v>
      </c>
      <c r="CW86" s="10"/>
      <c r="CX86" s="10"/>
      <c r="CY86" s="10"/>
      <c r="CZ86" s="10"/>
    </row>
    <row r="87" spans="2:104" ht="50.25" customHeight="1">
      <c r="B87" s="331">
        <v>86</v>
      </c>
      <c r="C87" s="295" t="s">
        <v>513</v>
      </c>
      <c r="D87" s="432" t="s">
        <v>514</v>
      </c>
      <c r="E87" s="432" t="s">
        <v>515</v>
      </c>
      <c r="F87" s="432" t="s">
        <v>516</v>
      </c>
      <c r="G87" s="448"/>
      <c r="H87" s="98">
        <v>46062</v>
      </c>
      <c r="I87" s="10">
        <f t="shared" si="49"/>
        <v>46791</v>
      </c>
      <c r="J87" s="98"/>
      <c r="K87" s="90"/>
      <c r="L87" s="319">
        <v>46058</v>
      </c>
      <c r="M87" s="91">
        <f t="shared" si="43"/>
        <v>46787</v>
      </c>
      <c r="N87" s="427"/>
      <c r="O87" s="427"/>
      <c r="P87" s="437"/>
      <c r="Q87" s="437"/>
      <c r="R87" s="17"/>
      <c r="S87" s="17"/>
      <c r="T87" s="17"/>
      <c r="U87" s="17"/>
      <c r="V87" s="437"/>
      <c r="W87" s="437"/>
      <c r="X87" s="17"/>
      <c r="Y87" s="17"/>
      <c r="Z87" s="394"/>
      <c r="AA87" s="394"/>
      <c r="AB87" s="394"/>
      <c r="AC87" s="394"/>
      <c r="AD87" s="394"/>
      <c r="AE87" s="394"/>
      <c r="AF87" s="387">
        <v>46065</v>
      </c>
      <c r="AG87" s="90">
        <f t="shared" si="25"/>
        <v>46794</v>
      </c>
      <c r="AH87" s="91">
        <v>46056</v>
      </c>
      <c r="AI87" s="90">
        <f t="shared" si="23"/>
        <v>46785</v>
      </c>
      <c r="AJ87" s="91">
        <v>46063</v>
      </c>
      <c r="AK87" s="91">
        <f t="shared" si="24"/>
        <v>46792</v>
      </c>
      <c r="AL87" s="38"/>
      <c r="AM87" s="38"/>
      <c r="AN87" s="388">
        <v>46032</v>
      </c>
      <c r="AO87" s="90">
        <f t="shared" si="50"/>
        <v>46761</v>
      </c>
      <c r="AP87" s="90">
        <v>46064</v>
      </c>
      <c r="AQ87" s="90">
        <f t="shared" si="46"/>
        <v>46793</v>
      </c>
      <c r="AR87" s="238"/>
      <c r="AS87" s="9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426"/>
      <c r="BI87" s="426"/>
      <c r="BJ87" s="426"/>
      <c r="BK87" s="426"/>
      <c r="BL87" s="11">
        <v>46072</v>
      </c>
      <c r="BM87" s="417">
        <f t="shared" si="48"/>
        <v>46801</v>
      </c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397"/>
      <c r="CC87" s="10"/>
      <c r="CD87" s="10"/>
      <c r="CE87" s="314"/>
      <c r="CF87" s="314"/>
      <c r="CG87" s="314"/>
      <c r="CH87" s="209"/>
      <c r="CI87" s="10"/>
      <c r="CJ87" s="10"/>
      <c r="CK87" s="426"/>
      <c r="CL87" s="10"/>
      <c r="CM87" s="91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</row>
    <row r="88" spans="2:104" ht="50.25" customHeight="1">
      <c r="B88" s="331">
        <v>87</v>
      </c>
      <c r="C88" s="295" t="s">
        <v>517</v>
      </c>
      <c r="D88" s="384" t="s">
        <v>518</v>
      </c>
      <c r="E88" s="384" t="s">
        <v>519</v>
      </c>
      <c r="F88" s="411" t="s">
        <v>418</v>
      </c>
      <c r="G88" s="440" t="s">
        <v>232</v>
      </c>
      <c r="H88" s="98">
        <v>46062</v>
      </c>
      <c r="I88" s="91">
        <f>IF(ISBLANK(H88),"",EDATE(H88,24))-1</f>
        <v>46791</v>
      </c>
      <c r="J88" s="290"/>
      <c r="K88" s="91" t="e">
        <f>IF(ISBLANK(J88),"",EDATE(J88,24))-1</f>
        <v>#VALUE!</v>
      </c>
      <c r="L88" s="319">
        <v>46058</v>
      </c>
      <c r="M88" s="91">
        <f t="shared" si="43"/>
        <v>46787</v>
      </c>
      <c r="N88" s="39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387">
        <v>46065</v>
      </c>
      <c r="AG88" s="90">
        <f t="shared" si="25"/>
        <v>46794</v>
      </c>
      <c r="AH88" s="91">
        <v>46056</v>
      </c>
      <c r="AI88" s="90">
        <f t="shared" si="23"/>
        <v>46785</v>
      </c>
      <c r="AJ88" s="91">
        <v>46063</v>
      </c>
      <c r="AK88" s="91">
        <f t="shared" si="24"/>
        <v>46792</v>
      </c>
      <c r="AL88" s="91">
        <v>46069</v>
      </c>
      <c r="AM88" s="91">
        <f>IF(ISBLANK(AL88),"",EDATE(AL88,12))-1</f>
        <v>46433</v>
      </c>
      <c r="AN88" s="388">
        <v>46032</v>
      </c>
      <c r="AO88" s="90">
        <f t="shared" si="50"/>
        <v>46761</v>
      </c>
      <c r="AP88" s="90">
        <v>46064</v>
      </c>
      <c r="AQ88" s="90">
        <f t="shared" si="46"/>
        <v>46793</v>
      </c>
      <c r="AR88" s="238"/>
      <c r="AS88" s="90" t="e">
        <f>IF(ISBLANK(AR88),"",EDATE(AR88,24))-1</f>
        <v>#VALUE!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426"/>
      <c r="BI88" s="426"/>
      <c r="BJ88" s="426"/>
      <c r="BK88" s="426"/>
      <c r="BL88" s="10"/>
      <c r="BM88" s="417" t="e">
        <f>IF(ISBLANK(BL88),"",EDATE(BL88,24))-1</f>
        <v>#VALUE!</v>
      </c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425" t="s">
        <v>232</v>
      </c>
      <c r="CF88" s="425" t="s">
        <v>232</v>
      </c>
      <c r="CG88" s="425" t="s">
        <v>232</v>
      </c>
      <c r="CH88" s="425" t="s">
        <v>232</v>
      </c>
      <c r="CI88" s="10"/>
      <c r="CJ88" s="10"/>
      <c r="CK88" s="426"/>
      <c r="CL88" s="10"/>
      <c r="CM88" s="9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</row>
    <row r="89" spans="2:104" ht="50.25" customHeight="1">
      <c r="B89" s="331">
        <v>88</v>
      </c>
      <c r="C89" s="295" t="s">
        <v>520</v>
      </c>
      <c r="D89" s="384" t="s">
        <v>521</v>
      </c>
      <c r="E89" s="384" t="s">
        <v>522</v>
      </c>
      <c r="F89" s="411" t="s">
        <v>253</v>
      </c>
      <c r="G89" s="448" t="s">
        <v>232</v>
      </c>
      <c r="H89" s="98">
        <v>46062</v>
      </c>
      <c r="I89" s="91">
        <f t="shared" si="49"/>
        <v>46791</v>
      </c>
      <c r="J89" s="290"/>
      <c r="K89" s="91" t="e">
        <f>IF(ISBLANK(J89),"",EDATE(J89,24))-1</f>
        <v>#VALUE!</v>
      </c>
      <c r="L89" s="319">
        <v>46058</v>
      </c>
      <c r="M89" s="91">
        <f t="shared" si="43"/>
        <v>46787</v>
      </c>
      <c r="N89" s="39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387">
        <v>46065</v>
      </c>
      <c r="AG89" s="90">
        <f t="shared" si="25"/>
        <v>46794</v>
      </c>
      <c r="AH89" s="91">
        <v>46056</v>
      </c>
      <c r="AI89" s="90">
        <f t="shared" si="23"/>
        <v>46785</v>
      </c>
      <c r="AJ89" s="91">
        <v>46063</v>
      </c>
      <c r="AK89" s="91">
        <f t="shared" si="24"/>
        <v>46792</v>
      </c>
      <c r="AL89" s="10"/>
      <c r="AM89" s="90" t="e">
        <f>IF(ISBLANK(AL89),"",EDATE(AL89,12))-1</f>
        <v>#VALUE!</v>
      </c>
      <c r="AN89" s="388">
        <v>46032</v>
      </c>
      <c r="AO89" s="90">
        <f t="shared" si="50"/>
        <v>46761</v>
      </c>
      <c r="AP89" s="90">
        <v>46064</v>
      </c>
      <c r="AQ89" s="90">
        <f t="shared" si="46"/>
        <v>46793</v>
      </c>
      <c r="AR89" s="238"/>
      <c r="AS89" s="90" t="e">
        <f>IF(ISBLANK(AR89),"",EDATE(AR89,24))-1</f>
        <v>#VALUE!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426"/>
      <c r="BI89" s="426"/>
      <c r="BJ89" s="426"/>
      <c r="BK89" s="426"/>
      <c r="BL89" s="11">
        <v>46072</v>
      </c>
      <c r="BM89" s="417">
        <f t="shared" ref="BM89:BM103" si="51">IF(ISBLANK(BL89),"",EDATE(BL89,24))-1</f>
        <v>46801</v>
      </c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425" t="s">
        <v>232</v>
      </c>
      <c r="CF89" s="425" t="s">
        <v>232</v>
      </c>
      <c r="CG89" s="425" t="s">
        <v>232</v>
      </c>
      <c r="CH89" s="425" t="s">
        <v>232</v>
      </c>
      <c r="CI89" s="10"/>
      <c r="CJ89" s="10"/>
      <c r="CK89" s="426"/>
      <c r="CL89" s="10"/>
      <c r="CM89" s="9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</row>
    <row r="90" spans="2:104" ht="50.25" customHeight="1">
      <c r="B90" s="331">
        <v>89</v>
      </c>
      <c r="C90" s="295" t="s">
        <v>523</v>
      </c>
      <c r="D90" s="432" t="s">
        <v>524</v>
      </c>
      <c r="E90" s="432" t="s">
        <v>525</v>
      </c>
      <c r="F90" s="411" t="s">
        <v>253</v>
      </c>
      <c r="G90" s="448"/>
      <c r="H90" s="98">
        <v>46062</v>
      </c>
      <c r="I90" s="10">
        <f t="shared" si="49"/>
        <v>46791</v>
      </c>
      <c r="J90" s="98"/>
      <c r="K90" s="90"/>
      <c r="L90" s="319">
        <v>46058</v>
      </c>
      <c r="M90" s="91">
        <f t="shared" si="43"/>
        <v>46787</v>
      </c>
      <c r="N90" s="10"/>
      <c r="O90" s="10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394"/>
      <c r="AA90" s="394"/>
      <c r="AB90" s="394"/>
      <c r="AC90" s="394"/>
      <c r="AD90" s="394"/>
      <c r="AE90" s="394"/>
      <c r="AF90" s="387">
        <v>46065</v>
      </c>
      <c r="AG90" s="90">
        <f t="shared" si="25"/>
        <v>46794</v>
      </c>
      <c r="AH90" s="91">
        <v>46056</v>
      </c>
      <c r="AI90" s="90">
        <f t="shared" si="23"/>
        <v>46785</v>
      </c>
      <c r="AJ90" s="91">
        <v>46063</v>
      </c>
      <c r="AK90" s="91">
        <f t="shared" si="24"/>
        <v>46792</v>
      </c>
      <c r="AL90" s="38"/>
      <c r="AM90" s="38"/>
      <c r="AN90" s="388">
        <v>46032</v>
      </c>
      <c r="AO90" s="90">
        <f t="shared" si="50"/>
        <v>46761</v>
      </c>
      <c r="AP90" s="90">
        <v>46064</v>
      </c>
      <c r="AQ90" s="90">
        <f t="shared" si="46"/>
        <v>46793</v>
      </c>
      <c r="AR90" s="238"/>
      <c r="AS90" s="9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426"/>
      <c r="BI90" s="426"/>
      <c r="BJ90" s="426"/>
      <c r="BK90" s="426"/>
      <c r="BL90" s="11">
        <v>46072</v>
      </c>
      <c r="BM90" s="417">
        <f t="shared" si="51"/>
        <v>46801</v>
      </c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397"/>
      <c r="CC90" s="10"/>
      <c r="CD90" s="10"/>
      <c r="CE90" s="314"/>
      <c r="CF90" s="314"/>
      <c r="CG90" s="314"/>
      <c r="CH90" s="209"/>
      <c r="CI90" s="10"/>
      <c r="CJ90" s="10"/>
      <c r="CK90" s="426"/>
      <c r="CL90" s="10"/>
      <c r="CM90" s="91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</row>
    <row r="91" spans="2:104" ht="50.25" customHeight="1">
      <c r="B91" s="331">
        <v>90</v>
      </c>
      <c r="C91" s="295" t="s">
        <v>526</v>
      </c>
      <c r="D91" s="432" t="s">
        <v>527</v>
      </c>
      <c r="E91" s="432" t="s">
        <v>528</v>
      </c>
      <c r="F91" s="411" t="s">
        <v>253</v>
      </c>
      <c r="G91" s="448"/>
      <c r="H91" s="98">
        <v>46062</v>
      </c>
      <c r="I91" s="10">
        <f t="shared" si="49"/>
        <v>46791</v>
      </c>
      <c r="J91" s="98"/>
      <c r="K91" s="90"/>
      <c r="L91" s="319">
        <v>46058</v>
      </c>
      <c r="M91" s="91">
        <f t="shared" si="43"/>
        <v>46787</v>
      </c>
      <c r="N91" s="10"/>
      <c r="O91" s="10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394"/>
      <c r="AA91" s="394"/>
      <c r="AB91" s="394"/>
      <c r="AC91" s="394"/>
      <c r="AD91" s="394"/>
      <c r="AE91" s="394"/>
      <c r="AF91" s="387">
        <v>46065</v>
      </c>
      <c r="AG91" s="10">
        <f>IF(ISBLANK(AF91),"",EDATE(AF91,24))</f>
        <v>46795</v>
      </c>
      <c r="AH91" s="91">
        <v>46056</v>
      </c>
      <c r="AI91" s="90">
        <f t="shared" si="23"/>
        <v>46785</v>
      </c>
      <c r="AJ91" s="91">
        <v>46063</v>
      </c>
      <c r="AK91" s="91">
        <f t="shared" si="24"/>
        <v>46792</v>
      </c>
      <c r="AL91" s="38"/>
      <c r="AM91" s="38"/>
      <c r="AN91" s="395"/>
      <c r="AO91" s="10">
        <f>IF(ISBLANK(AJ91),"",EDATE(AJ91,24))</f>
        <v>46793</v>
      </c>
      <c r="AP91" s="90"/>
      <c r="AQ91" s="90"/>
      <c r="AR91" s="238"/>
      <c r="AS91" s="9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426"/>
      <c r="BI91" s="426"/>
      <c r="BJ91" s="426"/>
      <c r="BK91" s="426"/>
      <c r="BL91" s="11">
        <v>46072</v>
      </c>
      <c r="BM91" s="417">
        <f t="shared" si="51"/>
        <v>46801</v>
      </c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397"/>
      <c r="CC91" s="10"/>
      <c r="CD91" s="10"/>
      <c r="CE91" s="314"/>
      <c r="CF91" s="314"/>
      <c r="CG91" s="314"/>
      <c r="CH91" s="209"/>
      <c r="CI91" s="10"/>
      <c r="CJ91" s="10"/>
      <c r="CK91" s="426"/>
      <c r="CL91" s="10"/>
      <c r="CM91" s="91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</row>
    <row r="92" spans="2:104" ht="50.25" customHeight="1">
      <c r="B92" s="331">
        <v>91</v>
      </c>
      <c r="C92" s="295" t="s">
        <v>529</v>
      </c>
      <c r="D92" s="384" t="s">
        <v>530</v>
      </c>
      <c r="E92" s="384" t="s">
        <v>531</v>
      </c>
      <c r="F92" s="411" t="s">
        <v>532</v>
      </c>
      <c r="G92" s="448" t="s">
        <v>232</v>
      </c>
      <c r="H92" s="98">
        <v>46062</v>
      </c>
      <c r="I92" s="91">
        <f t="shared" si="49"/>
        <v>46791</v>
      </c>
      <c r="J92" s="290"/>
      <c r="K92" s="91" t="e">
        <f>IF(ISBLANK(J92),"",EDATE(J92,24))-1</f>
        <v>#VALUE!</v>
      </c>
      <c r="L92" s="319">
        <v>46058</v>
      </c>
      <c r="M92" s="91">
        <f t="shared" si="43"/>
        <v>46787</v>
      </c>
      <c r="N92" s="39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387">
        <v>46065</v>
      </c>
      <c r="AG92" s="90">
        <f>IF(ISBLANK(AF92),"",EDATE(AF92,24))-1</f>
        <v>46794</v>
      </c>
      <c r="AH92" s="91">
        <v>46056</v>
      </c>
      <c r="AI92" s="90">
        <f t="shared" ref="AI92:AI97" si="52">IF(ISBLANK(AH92),"",EDATE(AH92,24))-1</f>
        <v>46785</v>
      </c>
      <c r="AJ92" s="91">
        <v>46063</v>
      </c>
      <c r="AK92" s="91">
        <f t="shared" ref="AK92:AK102" si="53">IF(ISBLANK(AJ92),"",EDATE(AJ92,24))-1</f>
        <v>46792</v>
      </c>
      <c r="AL92" s="10"/>
      <c r="AM92" s="90" t="e">
        <f>IF(ISBLANK(AL92),"",EDATE(AL92,12))-1</f>
        <v>#VALUE!</v>
      </c>
      <c r="AN92" s="10"/>
      <c r="AO92" s="90" t="e">
        <f>IF(ISBLANK(AN92),"",EDATE(AN92,24))-1</f>
        <v>#VALUE!</v>
      </c>
      <c r="AP92" s="90">
        <v>46064</v>
      </c>
      <c r="AQ92" s="90">
        <f t="shared" ref="AQ92:AQ105" si="54">IF(ISBLANK(AP92),"",EDATE(AP92,24))-1</f>
        <v>46793</v>
      </c>
      <c r="AR92" s="238"/>
      <c r="AS92" s="90" t="e">
        <f>IF(ISBLANK(AR92),"",EDATE(AR92,24))-1</f>
        <v>#VALUE!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426"/>
      <c r="BI92" s="426"/>
      <c r="BJ92" s="426"/>
      <c r="BK92" s="426"/>
      <c r="BL92" s="11">
        <v>46072</v>
      </c>
      <c r="BM92" s="417">
        <f t="shared" si="51"/>
        <v>46801</v>
      </c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425" t="s">
        <v>232</v>
      </c>
      <c r="CF92" s="425" t="s">
        <v>232</v>
      </c>
      <c r="CG92" s="425" t="s">
        <v>232</v>
      </c>
      <c r="CH92" s="425" t="s">
        <v>232</v>
      </c>
      <c r="CI92" s="10"/>
      <c r="CJ92" s="10"/>
      <c r="CK92" s="426"/>
      <c r="CL92" s="10"/>
      <c r="CM92" s="9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</row>
    <row r="93" spans="2:104" ht="50.25" customHeight="1">
      <c r="B93" s="331">
        <v>92</v>
      </c>
      <c r="C93" s="295" t="s">
        <v>533</v>
      </c>
      <c r="D93" s="432" t="s">
        <v>534</v>
      </c>
      <c r="E93" s="432" t="s">
        <v>535</v>
      </c>
      <c r="F93" s="411" t="s">
        <v>532</v>
      </c>
      <c r="G93" s="448"/>
      <c r="H93" s="98"/>
      <c r="I93" s="10" t="str">
        <f>IF(ISBLANK(H93),"",EDATE(H93,24))</f>
        <v/>
      </c>
      <c r="J93" s="98"/>
      <c r="K93" s="90"/>
      <c r="L93" s="319">
        <v>46058</v>
      </c>
      <c r="M93" s="91">
        <f t="shared" si="43"/>
        <v>46787</v>
      </c>
      <c r="N93" s="10"/>
      <c r="O93" s="10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394"/>
      <c r="AA93" s="394"/>
      <c r="AB93" s="394"/>
      <c r="AC93" s="394"/>
      <c r="AD93" s="394"/>
      <c r="AE93" s="394"/>
      <c r="AF93" s="12"/>
      <c r="AG93" s="10" t="str">
        <f>IF(ISBLANK(AF93),"",EDATE(AF93,24))</f>
        <v/>
      </c>
      <c r="AH93" s="91">
        <v>46056</v>
      </c>
      <c r="AI93" s="90">
        <f t="shared" si="52"/>
        <v>46785</v>
      </c>
      <c r="AJ93" s="91">
        <v>46063</v>
      </c>
      <c r="AK93" s="91">
        <f t="shared" si="53"/>
        <v>46792</v>
      </c>
      <c r="AL93" s="38"/>
      <c r="AM93" s="38"/>
      <c r="AN93" s="38"/>
      <c r="AO93" s="10">
        <f>IF(ISBLANK(AJ93),"",EDATE(AJ93,24))</f>
        <v>46793</v>
      </c>
      <c r="AP93" s="90">
        <v>46064</v>
      </c>
      <c r="AQ93" s="90">
        <f t="shared" si="54"/>
        <v>46793</v>
      </c>
      <c r="AR93" s="238"/>
      <c r="AS93" s="9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426"/>
      <c r="BI93" s="426"/>
      <c r="BJ93" s="426"/>
      <c r="BK93" s="426"/>
      <c r="BL93" s="11">
        <v>46072</v>
      </c>
      <c r="BM93" s="417">
        <f t="shared" si="51"/>
        <v>46801</v>
      </c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397"/>
      <c r="CC93" s="10"/>
      <c r="CD93" s="10"/>
      <c r="CE93" s="314"/>
      <c r="CF93" s="314"/>
      <c r="CG93" s="314"/>
      <c r="CH93" s="209"/>
      <c r="CI93" s="10"/>
      <c r="CJ93" s="10"/>
      <c r="CK93" s="426"/>
      <c r="CL93" s="10"/>
      <c r="CM93" s="91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</row>
    <row r="94" spans="2:104" ht="50.25" customHeight="1">
      <c r="B94" s="331">
        <v>93</v>
      </c>
      <c r="C94" s="295" t="s">
        <v>536</v>
      </c>
      <c r="D94" s="432" t="s">
        <v>487</v>
      </c>
      <c r="E94" s="432" t="s">
        <v>537</v>
      </c>
      <c r="F94" s="432" t="s">
        <v>538</v>
      </c>
      <c r="G94" s="448"/>
      <c r="H94" s="98">
        <v>46062</v>
      </c>
      <c r="I94" s="10">
        <f>IF(ISBLANK(H94),"",EDATE(H94,24))-1</f>
        <v>46791</v>
      </c>
      <c r="J94" s="98"/>
      <c r="K94" s="90"/>
      <c r="L94" s="319">
        <v>46058</v>
      </c>
      <c r="M94" s="91">
        <f t="shared" si="43"/>
        <v>46787</v>
      </c>
      <c r="N94" s="10"/>
      <c r="O94" s="10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394"/>
      <c r="AA94" s="394"/>
      <c r="AB94" s="394"/>
      <c r="AC94" s="394"/>
      <c r="AD94" s="394"/>
      <c r="AE94" s="394"/>
      <c r="AF94" s="387">
        <v>46065</v>
      </c>
      <c r="AG94" s="10">
        <f t="shared" ref="AG94:AG102" si="55">IF(ISBLANK(AF94),"",EDATE(AF94,24))-1</f>
        <v>46794</v>
      </c>
      <c r="AH94" s="91">
        <v>46056</v>
      </c>
      <c r="AI94" s="90">
        <f t="shared" si="52"/>
        <v>46785</v>
      </c>
      <c r="AJ94" s="91">
        <v>46063</v>
      </c>
      <c r="AK94" s="91">
        <f t="shared" si="53"/>
        <v>46792</v>
      </c>
      <c r="AL94" s="38"/>
      <c r="AM94" s="38"/>
      <c r="AN94" s="38"/>
      <c r="AO94" s="10">
        <f>IF(ISBLANK(AJ94),"",EDATE(AJ94,24))</f>
        <v>46793</v>
      </c>
      <c r="AP94" s="90">
        <v>46064</v>
      </c>
      <c r="AQ94" s="90">
        <f t="shared" si="54"/>
        <v>46793</v>
      </c>
      <c r="AR94" s="238"/>
      <c r="AS94" s="9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426"/>
      <c r="BI94" s="426"/>
      <c r="BJ94" s="426"/>
      <c r="BK94" s="426"/>
      <c r="BL94" s="11">
        <v>46072</v>
      </c>
      <c r="BM94" s="417">
        <f t="shared" si="51"/>
        <v>46801</v>
      </c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397"/>
      <c r="CC94" s="10"/>
      <c r="CD94" s="10"/>
      <c r="CE94" s="314"/>
      <c r="CF94" s="314"/>
      <c r="CG94" s="314"/>
      <c r="CH94" s="209"/>
      <c r="CI94" s="10"/>
      <c r="CJ94" s="10"/>
      <c r="CK94" s="426"/>
      <c r="CL94" s="10"/>
      <c r="CM94" s="91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</row>
    <row r="95" spans="2:104" ht="50.25" customHeight="1">
      <c r="B95" s="331">
        <v>94</v>
      </c>
      <c r="C95" s="295" t="s">
        <v>539</v>
      </c>
      <c r="D95" s="432" t="s">
        <v>540</v>
      </c>
      <c r="E95" s="432" t="s">
        <v>541</v>
      </c>
      <c r="F95" s="432" t="s">
        <v>538</v>
      </c>
      <c r="G95" s="448"/>
      <c r="H95" s="98">
        <v>46062</v>
      </c>
      <c r="I95" s="10">
        <f>IF(ISBLANK(H95),"",EDATE(H95,24))-1</f>
        <v>46791</v>
      </c>
      <c r="J95" s="98"/>
      <c r="K95" s="90"/>
      <c r="L95" s="319">
        <v>46058</v>
      </c>
      <c r="M95" s="91">
        <f t="shared" si="43"/>
        <v>46787</v>
      </c>
      <c r="N95" s="10"/>
      <c r="O95" s="10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394"/>
      <c r="AA95" s="394"/>
      <c r="AB95" s="394"/>
      <c r="AC95" s="394"/>
      <c r="AD95" s="394"/>
      <c r="AE95" s="394"/>
      <c r="AF95" s="387">
        <v>46065</v>
      </c>
      <c r="AG95" s="10">
        <f t="shared" si="55"/>
        <v>46794</v>
      </c>
      <c r="AH95" s="91">
        <v>46056</v>
      </c>
      <c r="AI95" s="90">
        <f t="shared" si="52"/>
        <v>46785</v>
      </c>
      <c r="AJ95" s="91">
        <v>46063</v>
      </c>
      <c r="AK95" s="91">
        <f t="shared" si="53"/>
        <v>46792</v>
      </c>
      <c r="AL95" s="38"/>
      <c r="AM95" s="38"/>
      <c r="AN95" s="38"/>
      <c r="AO95" s="10">
        <f>IF(ISBLANK(AJ95),"",EDATE(AJ95,24))</f>
        <v>46793</v>
      </c>
      <c r="AP95" s="90">
        <v>46064</v>
      </c>
      <c r="AQ95" s="90">
        <f t="shared" si="54"/>
        <v>46793</v>
      </c>
      <c r="AR95" s="238"/>
      <c r="AS95" s="9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426"/>
      <c r="BI95" s="426"/>
      <c r="BJ95" s="426"/>
      <c r="BK95" s="426"/>
      <c r="BL95" s="11">
        <v>46072</v>
      </c>
      <c r="BM95" s="417">
        <f t="shared" si="51"/>
        <v>46801</v>
      </c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397"/>
      <c r="CC95" s="10"/>
      <c r="CD95" s="10"/>
      <c r="CE95" s="314"/>
      <c r="CF95" s="314"/>
      <c r="CG95" s="314"/>
      <c r="CH95" s="209"/>
      <c r="CI95" s="10"/>
      <c r="CJ95" s="10"/>
      <c r="CK95" s="426"/>
      <c r="CL95" s="10"/>
      <c r="CM95" s="91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</row>
    <row r="96" spans="2:104" ht="50.25" customHeight="1">
      <c r="B96" s="331">
        <v>95</v>
      </c>
      <c r="C96" s="295" t="s">
        <v>542</v>
      </c>
      <c r="D96" s="384" t="s">
        <v>543</v>
      </c>
      <c r="E96" s="384" t="s">
        <v>544</v>
      </c>
      <c r="F96" s="411" t="s">
        <v>422</v>
      </c>
      <c r="G96" s="440" t="s">
        <v>545</v>
      </c>
      <c r="H96" s="98">
        <v>46062</v>
      </c>
      <c r="I96" s="91">
        <f>IF(ISBLANK(H96),"",EDATE(H96,24))-1</f>
        <v>46791</v>
      </c>
      <c r="J96" s="290">
        <v>46028</v>
      </c>
      <c r="K96" s="91">
        <f>IF(ISBLANK(J96),"",EDATE(J96,24))-1</f>
        <v>46757</v>
      </c>
      <c r="L96" s="319">
        <v>46058</v>
      </c>
      <c r="M96" s="91">
        <f t="shared" si="43"/>
        <v>46787</v>
      </c>
      <c r="N96" s="419" t="s">
        <v>231</v>
      </c>
      <c r="O96" s="427" t="s">
        <v>231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387">
        <v>46065</v>
      </c>
      <c r="AG96" s="10">
        <f t="shared" si="55"/>
        <v>46794</v>
      </c>
      <c r="AH96" s="91">
        <v>46056</v>
      </c>
      <c r="AI96" s="90">
        <f t="shared" si="52"/>
        <v>46785</v>
      </c>
      <c r="AJ96" s="91">
        <v>46063</v>
      </c>
      <c r="AK96" s="91">
        <f t="shared" si="53"/>
        <v>46792</v>
      </c>
      <c r="AL96" s="91">
        <v>46069</v>
      </c>
      <c r="AM96" s="91">
        <f>IF(ISBLANK(AL96),"",EDATE(AL96,12))-1</f>
        <v>46433</v>
      </c>
      <c r="AN96" s="10">
        <v>46032</v>
      </c>
      <c r="AO96" s="90">
        <f>IF(ISBLANK(AN96),"",EDATE(AN96,24))-1</f>
        <v>46761</v>
      </c>
      <c r="AP96" s="90">
        <v>46064</v>
      </c>
      <c r="AQ96" s="90">
        <f t="shared" si="54"/>
        <v>46793</v>
      </c>
      <c r="AR96" s="238"/>
      <c r="AS96" s="90" t="e">
        <f>IF(ISBLANK(AR96),"",EDATE(AR96,24))-1</f>
        <v>#VALUE!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426"/>
      <c r="BI96" s="426"/>
      <c r="BJ96" s="426"/>
      <c r="BK96" s="426"/>
      <c r="BL96" s="11">
        <v>46072</v>
      </c>
      <c r="BM96" s="417">
        <f t="shared" si="51"/>
        <v>46801</v>
      </c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425" t="s">
        <v>232</v>
      </c>
      <c r="CF96" s="425" t="s">
        <v>232</v>
      </c>
      <c r="CG96" s="425" t="s">
        <v>232</v>
      </c>
      <c r="CH96" s="425" t="s">
        <v>232</v>
      </c>
      <c r="CI96" s="10"/>
      <c r="CJ96" s="10"/>
      <c r="CK96" s="426"/>
      <c r="CL96" s="10"/>
      <c r="CM96" s="9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</row>
    <row r="97" spans="2:104" ht="50.25" customHeight="1">
      <c r="B97" s="331">
        <v>96</v>
      </c>
      <c r="C97" s="295" t="s">
        <v>546</v>
      </c>
      <c r="D97" s="432" t="s">
        <v>547</v>
      </c>
      <c r="E97" s="432" t="s">
        <v>548</v>
      </c>
      <c r="F97" s="411" t="s">
        <v>422</v>
      </c>
      <c r="G97" s="456" t="s">
        <v>549</v>
      </c>
      <c r="H97" s="98">
        <v>46062</v>
      </c>
      <c r="I97" s="10">
        <f>IF(ISBLANK(H97),"",EDATE(H97,24))-1</f>
        <v>46791</v>
      </c>
      <c r="J97" s="98"/>
      <c r="K97" s="90"/>
      <c r="L97" s="319">
        <v>46058</v>
      </c>
      <c r="M97" s="91">
        <f t="shared" si="43"/>
        <v>46787</v>
      </c>
      <c r="N97" s="427"/>
      <c r="O97" s="42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394"/>
      <c r="AA97" s="394"/>
      <c r="AB97" s="394"/>
      <c r="AC97" s="394"/>
      <c r="AD97" s="394"/>
      <c r="AE97" s="394"/>
      <c r="AF97" s="387">
        <v>46065</v>
      </c>
      <c r="AG97" s="10">
        <f t="shared" si="55"/>
        <v>46794</v>
      </c>
      <c r="AH97" s="91">
        <v>46056</v>
      </c>
      <c r="AI97" s="90">
        <f t="shared" si="52"/>
        <v>46785</v>
      </c>
      <c r="AJ97" s="91">
        <v>46063</v>
      </c>
      <c r="AK97" s="91">
        <f t="shared" si="53"/>
        <v>46792</v>
      </c>
      <c r="AL97" s="91">
        <v>46069</v>
      </c>
      <c r="AM97" s="91">
        <f>IF(ISBLANK(AL97),"",EDATE(AL97,12))-1</f>
        <v>46433</v>
      </c>
      <c r="AN97" s="38"/>
      <c r="AO97" s="10">
        <f t="shared" ref="AO97:AO111" si="56">IF(ISBLANK(AJ97),"",EDATE(AJ97,24))</f>
        <v>46793</v>
      </c>
      <c r="AP97" s="90">
        <v>46064</v>
      </c>
      <c r="AQ97" s="90">
        <f t="shared" si="54"/>
        <v>46793</v>
      </c>
      <c r="AR97" s="238"/>
      <c r="AS97" s="9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426"/>
      <c r="BI97" s="426"/>
      <c r="BJ97" s="426"/>
      <c r="BK97" s="426"/>
      <c r="BL97" s="11">
        <v>46072</v>
      </c>
      <c r="BM97" s="417">
        <f t="shared" si="51"/>
        <v>46801</v>
      </c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397"/>
      <c r="CC97" s="10"/>
      <c r="CD97" s="10"/>
      <c r="CE97" s="314"/>
      <c r="CF97" s="314"/>
      <c r="CG97" s="314"/>
      <c r="CH97" s="209"/>
      <c r="CI97" s="10"/>
      <c r="CJ97" s="10"/>
      <c r="CK97" s="426"/>
      <c r="CL97" s="10"/>
      <c r="CM97" s="91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</row>
    <row r="98" spans="2:104" ht="50.25" customHeight="1">
      <c r="B98" s="331">
        <v>97</v>
      </c>
      <c r="C98" s="33" t="s">
        <v>550</v>
      </c>
      <c r="D98" s="384" t="s">
        <v>551</v>
      </c>
      <c r="E98" s="384" t="s">
        <v>552</v>
      </c>
      <c r="F98" s="411" t="s">
        <v>422</v>
      </c>
      <c r="G98" s="440"/>
      <c r="H98" s="98">
        <v>46062</v>
      </c>
      <c r="I98" s="10">
        <f t="shared" ref="I98:I100" si="57">IF(ISBLANK(H98),"",EDATE(H98,24))-1</f>
        <v>46791</v>
      </c>
      <c r="J98" s="290"/>
      <c r="K98" s="90"/>
      <c r="L98" s="319">
        <v>46058</v>
      </c>
      <c r="M98" s="91">
        <f t="shared" si="43"/>
        <v>46787</v>
      </c>
      <c r="N98" s="39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387">
        <v>46065</v>
      </c>
      <c r="AG98" s="10">
        <f t="shared" si="55"/>
        <v>46794</v>
      </c>
      <c r="AH98" s="10"/>
      <c r="AI98" s="10" t="str">
        <f t="shared" ref="AI98:AI111" si="58">IF(ISBLANK(AH98),"",EDATE(AH98,24))</f>
        <v/>
      </c>
      <c r="AJ98" s="91">
        <v>46063</v>
      </c>
      <c r="AK98" s="91">
        <f t="shared" si="53"/>
        <v>46792</v>
      </c>
      <c r="AL98" s="91">
        <v>46069</v>
      </c>
      <c r="AM98" s="91">
        <f>IF(ISBLANK(AL98),"",EDATE(AL98,12))-1</f>
        <v>46433</v>
      </c>
      <c r="AN98" s="10"/>
      <c r="AO98" s="10">
        <f t="shared" si="56"/>
        <v>46793</v>
      </c>
      <c r="AP98" s="90">
        <v>46064</v>
      </c>
      <c r="AQ98" s="90">
        <f t="shared" si="54"/>
        <v>46793</v>
      </c>
      <c r="AR98" s="238"/>
      <c r="AS98" s="9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426"/>
      <c r="BI98" s="426"/>
      <c r="BJ98" s="426"/>
      <c r="BK98" s="426"/>
      <c r="BL98" s="11">
        <v>46072</v>
      </c>
      <c r="BM98" s="417">
        <f t="shared" si="51"/>
        <v>46801</v>
      </c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425" t="s">
        <v>232</v>
      </c>
      <c r="CF98" s="425" t="s">
        <v>232</v>
      </c>
      <c r="CG98" s="425" t="s">
        <v>232</v>
      </c>
      <c r="CH98" s="425" t="s">
        <v>232</v>
      </c>
      <c r="CI98" s="10"/>
      <c r="CJ98" s="10"/>
      <c r="CK98" s="426"/>
      <c r="CL98" s="10"/>
      <c r="CM98" s="9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</row>
    <row r="99" spans="2:104" ht="50.25" customHeight="1">
      <c r="B99" s="331">
        <v>98</v>
      </c>
      <c r="C99" s="33" t="s">
        <v>553</v>
      </c>
      <c r="D99" s="384" t="s">
        <v>554</v>
      </c>
      <c r="E99" s="384" t="s">
        <v>555</v>
      </c>
      <c r="F99" s="411" t="s">
        <v>253</v>
      </c>
      <c r="G99" s="439"/>
      <c r="H99" s="98">
        <v>46062</v>
      </c>
      <c r="I99" s="10">
        <f t="shared" si="57"/>
        <v>46791</v>
      </c>
      <c r="J99" s="290"/>
      <c r="K99" s="90"/>
      <c r="L99" s="319">
        <v>46058</v>
      </c>
      <c r="M99" s="91">
        <f t="shared" si="43"/>
        <v>46787</v>
      </c>
      <c r="N99" s="39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387">
        <v>46065</v>
      </c>
      <c r="AG99" s="10">
        <f t="shared" si="55"/>
        <v>46794</v>
      </c>
      <c r="AH99" s="10"/>
      <c r="AI99" s="10" t="str">
        <f t="shared" si="58"/>
        <v/>
      </c>
      <c r="AJ99" s="91">
        <v>46063</v>
      </c>
      <c r="AK99" s="91">
        <f t="shared" si="53"/>
        <v>46792</v>
      </c>
      <c r="AL99" s="10"/>
      <c r="AM99" s="10"/>
      <c r="AN99" s="10"/>
      <c r="AO99" s="10">
        <f t="shared" si="56"/>
        <v>46793</v>
      </c>
      <c r="AP99" s="90">
        <v>46064</v>
      </c>
      <c r="AQ99" s="90">
        <f t="shared" si="54"/>
        <v>46793</v>
      </c>
      <c r="AR99" s="238"/>
      <c r="AS99" s="9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426"/>
      <c r="BI99" s="426"/>
      <c r="BJ99" s="426"/>
      <c r="BK99" s="426"/>
      <c r="BL99" s="11">
        <v>46072</v>
      </c>
      <c r="BM99" s="417">
        <f t="shared" si="51"/>
        <v>46801</v>
      </c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425" t="s">
        <v>232</v>
      </c>
      <c r="CF99" s="425" t="s">
        <v>232</v>
      </c>
      <c r="CG99" s="425" t="s">
        <v>232</v>
      </c>
      <c r="CH99" s="425" t="s">
        <v>232</v>
      </c>
      <c r="CI99" s="10"/>
      <c r="CJ99" s="10"/>
      <c r="CK99" s="426"/>
      <c r="CL99" s="10"/>
      <c r="CM99" s="9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</row>
    <row r="100" spans="2:104" ht="50.25" customHeight="1">
      <c r="B100" s="331">
        <v>99</v>
      </c>
      <c r="C100" s="33" t="s">
        <v>556</v>
      </c>
      <c r="D100" s="384" t="s">
        <v>557</v>
      </c>
      <c r="E100" s="384" t="s">
        <v>558</v>
      </c>
      <c r="F100" s="411" t="s">
        <v>422</v>
      </c>
      <c r="G100" s="440" t="s">
        <v>559</v>
      </c>
      <c r="H100" s="98">
        <v>46062</v>
      </c>
      <c r="I100" s="10">
        <f t="shared" si="57"/>
        <v>46791</v>
      </c>
      <c r="J100" s="290"/>
      <c r="K100" s="90"/>
      <c r="L100" s="319">
        <v>46058</v>
      </c>
      <c r="M100" s="91">
        <f t="shared" si="43"/>
        <v>46787</v>
      </c>
      <c r="N100" s="39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387">
        <v>46065</v>
      </c>
      <c r="AG100" s="10">
        <f t="shared" si="55"/>
        <v>46794</v>
      </c>
      <c r="AH100" s="10"/>
      <c r="AI100" s="10" t="str">
        <f t="shared" si="58"/>
        <v/>
      </c>
      <c r="AJ100" s="91">
        <v>46063</v>
      </c>
      <c r="AK100" s="91">
        <f t="shared" si="53"/>
        <v>46792</v>
      </c>
      <c r="AL100" s="91">
        <v>46069</v>
      </c>
      <c r="AM100" s="91">
        <f>IF(ISBLANK(AL100),"",EDATE(AL100,12))-1</f>
        <v>46433</v>
      </c>
      <c r="AN100" s="10"/>
      <c r="AO100" s="10">
        <f t="shared" si="56"/>
        <v>46793</v>
      </c>
      <c r="AP100" s="90">
        <v>46064</v>
      </c>
      <c r="AQ100" s="90">
        <f t="shared" si="54"/>
        <v>46793</v>
      </c>
      <c r="AR100" s="238"/>
      <c r="AS100" s="9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426"/>
      <c r="BI100" s="426"/>
      <c r="BJ100" s="426"/>
      <c r="BK100" s="426"/>
      <c r="BL100" s="11">
        <v>46072</v>
      </c>
      <c r="BM100" s="417">
        <f t="shared" si="51"/>
        <v>46801</v>
      </c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425" t="s">
        <v>232</v>
      </c>
      <c r="CF100" s="425" t="s">
        <v>232</v>
      </c>
      <c r="CG100" s="425" t="s">
        <v>232</v>
      </c>
      <c r="CH100" s="425" t="s">
        <v>232</v>
      </c>
      <c r="CI100" s="10"/>
      <c r="CJ100" s="10"/>
      <c r="CK100" s="426"/>
      <c r="CL100" s="10"/>
      <c r="CM100" s="9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</row>
    <row r="101" spans="2:104" ht="50.25" customHeight="1">
      <c r="B101" s="331">
        <v>100</v>
      </c>
      <c r="C101" s="33" t="s">
        <v>560</v>
      </c>
      <c r="D101" s="384" t="s">
        <v>561</v>
      </c>
      <c r="E101" s="384" t="s">
        <v>562</v>
      </c>
      <c r="F101" s="411" t="s">
        <v>422</v>
      </c>
      <c r="G101" s="440" t="s">
        <v>563</v>
      </c>
      <c r="H101" s="98">
        <v>46062</v>
      </c>
      <c r="I101" s="10">
        <f t="shared" ref="I101:I111" si="59">IF(ISBLANK(H101),"",EDATE(H101,24))</f>
        <v>46792</v>
      </c>
      <c r="J101" s="290"/>
      <c r="K101" s="90"/>
      <c r="L101" s="319">
        <v>46058</v>
      </c>
      <c r="M101" s="91">
        <f t="shared" si="43"/>
        <v>46787</v>
      </c>
      <c r="N101" s="39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387">
        <v>46065</v>
      </c>
      <c r="AG101" s="10">
        <f t="shared" si="55"/>
        <v>46794</v>
      </c>
      <c r="AH101" s="10"/>
      <c r="AI101" s="10" t="str">
        <f t="shared" si="58"/>
        <v/>
      </c>
      <c r="AJ101" s="91">
        <v>46063</v>
      </c>
      <c r="AK101" s="91">
        <f t="shared" si="53"/>
        <v>46792</v>
      </c>
      <c r="AL101" s="91">
        <v>46069</v>
      </c>
      <c r="AM101" s="91">
        <f>IF(ISBLANK(AL101),"",EDATE(AL101,12))-1</f>
        <v>46433</v>
      </c>
      <c r="AN101" s="10"/>
      <c r="AO101" s="10">
        <f t="shared" si="56"/>
        <v>46793</v>
      </c>
      <c r="AP101" s="90">
        <v>46064</v>
      </c>
      <c r="AQ101" s="90">
        <f t="shared" si="54"/>
        <v>46793</v>
      </c>
      <c r="AR101" s="238"/>
      <c r="AS101" s="9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426"/>
      <c r="BI101" s="426"/>
      <c r="BJ101" s="426"/>
      <c r="BK101" s="426"/>
      <c r="BL101" s="11">
        <v>46072</v>
      </c>
      <c r="BM101" s="417">
        <f t="shared" si="51"/>
        <v>46801</v>
      </c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425" t="s">
        <v>232</v>
      </c>
      <c r="CF101" s="425" t="s">
        <v>232</v>
      </c>
      <c r="CG101" s="425" t="s">
        <v>232</v>
      </c>
      <c r="CH101" s="425" t="s">
        <v>232</v>
      </c>
      <c r="CI101" s="10"/>
      <c r="CJ101" s="10"/>
      <c r="CK101" s="426"/>
      <c r="CL101" s="10"/>
      <c r="CM101" s="9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</row>
    <row r="102" spans="2:104" ht="50.25" customHeight="1">
      <c r="B102" s="331">
        <v>101</v>
      </c>
      <c r="C102" s="33" t="s">
        <v>564</v>
      </c>
      <c r="D102" s="384" t="s">
        <v>565</v>
      </c>
      <c r="E102" s="384" t="s">
        <v>566</v>
      </c>
      <c r="F102" s="411" t="s">
        <v>253</v>
      </c>
      <c r="G102" s="439"/>
      <c r="H102" s="98">
        <v>46062</v>
      </c>
      <c r="I102" s="10">
        <f t="shared" si="59"/>
        <v>46792</v>
      </c>
      <c r="J102" s="290"/>
      <c r="K102" s="90"/>
      <c r="L102" s="319">
        <v>46058</v>
      </c>
      <c r="M102" s="91">
        <f t="shared" si="43"/>
        <v>46787</v>
      </c>
      <c r="N102" s="39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387">
        <v>46065</v>
      </c>
      <c r="AG102" s="10">
        <f t="shared" si="55"/>
        <v>46794</v>
      </c>
      <c r="AH102" s="10"/>
      <c r="AI102" s="10" t="str">
        <f t="shared" si="58"/>
        <v/>
      </c>
      <c r="AJ102" s="91">
        <v>46063</v>
      </c>
      <c r="AK102" s="91">
        <f t="shared" si="53"/>
        <v>46792</v>
      </c>
      <c r="AL102" s="91">
        <v>46069</v>
      </c>
      <c r="AM102" s="91">
        <f>IF(ISBLANK(AL102),"",EDATE(AL102,12))-1</f>
        <v>46433</v>
      </c>
      <c r="AN102" s="10"/>
      <c r="AO102" s="10">
        <f t="shared" si="56"/>
        <v>46793</v>
      </c>
      <c r="AP102" s="90"/>
      <c r="AQ102" s="90"/>
      <c r="AR102" s="238"/>
      <c r="AS102" s="9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426"/>
      <c r="BI102" s="426"/>
      <c r="BJ102" s="426"/>
      <c r="BK102" s="426"/>
      <c r="BL102" s="11">
        <v>46072</v>
      </c>
      <c r="BM102" s="417">
        <f t="shared" si="51"/>
        <v>46801</v>
      </c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425" t="s">
        <v>232</v>
      </c>
      <c r="CF102" s="425" t="s">
        <v>232</v>
      </c>
      <c r="CG102" s="425" t="s">
        <v>232</v>
      </c>
      <c r="CH102" s="425" t="s">
        <v>232</v>
      </c>
      <c r="CI102" s="10"/>
      <c r="CJ102" s="10"/>
      <c r="CK102" s="426"/>
      <c r="CL102" s="10"/>
      <c r="CM102" s="9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</row>
    <row r="103" spans="2:104" ht="50.25" customHeight="1">
      <c r="B103" s="331">
        <v>102</v>
      </c>
      <c r="C103" s="295" t="s">
        <v>567</v>
      </c>
      <c r="D103" s="384" t="s">
        <v>568</v>
      </c>
      <c r="E103" s="384" t="s">
        <v>569</v>
      </c>
      <c r="F103" s="411" t="s">
        <v>538</v>
      </c>
      <c r="G103" s="439"/>
      <c r="H103" s="412"/>
      <c r="I103" s="10" t="str">
        <f t="shared" si="59"/>
        <v/>
      </c>
      <c r="J103" s="290"/>
      <c r="K103" s="90"/>
      <c r="L103" s="290"/>
      <c r="M103" s="90" t="str">
        <f t="shared" ref="M103:M111" si="60">IF(ISBLANK(L103),"",EDATE(L103,24))</f>
        <v/>
      </c>
      <c r="N103" s="39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387"/>
      <c r="AG103" s="10" t="str">
        <f t="shared" ref="AG103:AG111" si="61">IF(ISBLANK(AF103),"",EDATE(AF103,24))</f>
        <v/>
      </c>
      <c r="AH103" s="10"/>
      <c r="AI103" s="10" t="str">
        <f t="shared" si="58"/>
        <v/>
      </c>
      <c r="AJ103" s="10"/>
      <c r="AK103" s="10"/>
      <c r="AL103" s="10"/>
      <c r="AM103" s="10"/>
      <c r="AN103" s="10"/>
      <c r="AO103" s="10" t="str">
        <f t="shared" si="56"/>
        <v/>
      </c>
      <c r="AP103" s="90">
        <v>46064</v>
      </c>
      <c r="AQ103" s="90">
        <f t="shared" si="54"/>
        <v>46793</v>
      </c>
      <c r="AR103" s="238"/>
      <c r="AS103" s="9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426"/>
      <c r="BI103" s="426"/>
      <c r="BJ103" s="426"/>
      <c r="BK103" s="426"/>
      <c r="BL103" s="11">
        <v>46072</v>
      </c>
      <c r="BM103" s="417">
        <f t="shared" si="51"/>
        <v>46801</v>
      </c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425" t="s">
        <v>232</v>
      </c>
      <c r="CF103" s="425" t="s">
        <v>232</v>
      </c>
      <c r="CG103" s="425" t="s">
        <v>232</v>
      </c>
      <c r="CH103" s="425" t="s">
        <v>232</v>
      </c>
      <c r="CI103" s="10"/>
      <c r="CJ103" s="10"/>
      <c r="CK103" s="426"/>
      <c r="CL103" s="10"/>
      <c r="CM103" s="9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</row>
    <row r="104" spans="2:104" ht="50.25" customHeight="1">
      <c r="B104" s="331">
        <v>103</v>
      </c>
      <c r="C104" s="295" t="s">
        <v>570</v>
      </c>
      <c r="D104" s="384" t="s">
        <v>571</v>
      </c>
      <c r="E104" s="384" t="s">
        <v>572</v>
      </c>
      <c r="F104" s="411" t="s">
        <v>573</v>
      </c>
      <c r="G104" s="439"/>
      <c r="H104" s="412"/>
      <c r="I104" s="10" t="str">
        <f t="shared" si="59"/>
        <v/>
      </c>
      <c r="J104" s="290"/>
      <c r="K104" s="90"/>
      <c r="L104" s="290"/>
      <c r="M104" s="90" t="str">
        <f t="shared" si="60"/>
        <v/>
      </c>
      <c r="N104" s="39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387"/>
      <c r="AG104" s="10" t="str">
        <f t="shared" si="61"/>
        <v/>
      </c>
      <c r="AH104" s="10"/>
      <c r="AI104" s="10" t="str">
        <f t="shared" si="58"/>
        <v/>
      </c>
      <c r="AJ104" s="10"/>
      <c r="AK104" s="10"/>
      <c r="AL104" s="10"/>
      <c r="AM104" s="10"/>
      <c r="AN104" s="10"/>
      <c r="AO104" s="10" t="str">
        <f t="shared" si="56"/>
        <v/>
      </c>
      <c r="AP104" s="90">
        <v>46064</v>
      </c>
      <c r="AQ104" s="90">
        <f t="shared" si="54"/>
        <v>46793</v>
      </c>
      <c r="AR104" s="238"/>
      <c r="AS104" s="9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426"/>
      <c r="BI104" s="426"/>
      <c r="BJ104" s="426"/>
      <c r="BK104" s="426"/>
      <c r="BL104" s="10"/>
      <c r="BM104" s="9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425" t="s">
        <v>232</v>
      </c>
      <c r="CF104" s="425" t="s">
        <v>232</v>
      </c>
      <c r="CG104" s="425" t="s">
        <v>232</v>
      </c>
      <c r="CH104" s="425" t="s">
        <v>232</v>
      </c>
      <c r="CI104" s="10"/>
      <c r="CJ104" s="10"/>
      <c r="CK104" s="426"/>
      <c r="CL104" s="10"/>
      <c r="CM104" s="9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</row>
    <row r="105" spans="2:104" ht="50.25" customHeight="1">
      <c r="B105" s="331">
        <v>104</v>
      </c>
      <c r="C105" s="295" t="s">
        <v>574</v>
      </c>
      <c r="D105" s="384" t="s">
        <v>575</v>
      </c>
      <c r="E105" s="384" t="s">
        <v>576</v>
      </c>
      <c r="F105" s="411"/>
      <c r="G105" s="439"/>
      <c r="H105" s="412"/>
      <c r="I105" s="10" t="str">
        <f t="shared" si="59"/>
        <v/>
      </c>
      <c r="J105" s="290"/>
      <c r="K105" s="90"/>
      <c r="L105" s="290"/>
      <c r="M105" s="90" t="str">
        <f t="shared" si="60"/>
        <v/>
      </c>
      <c r="N105" s="39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387"/>
      <c r="AG105" s="10" t="str">
        <f t="shared" si="61"/>
        <v/>
      </c>
      <c r="AH105" s="10"/>
      <c r="AI105" s="10" t="str">
        <f t="shared" si="58"/>
        <v/>
      </c>
      <c r="AJ105" s="10"/>
      <c r="AK105" s="10"/>
      <c r="AL105" s="10"/>
      <c r="AM105" s="10"/>
      <c r="AN105" s="10"/>
      <c r="AO105" s="10" t="str">
        <f t="shared" si="56"/>
        <v/>
      </c>
      <c r="AP105" s="90">
        <v>46064</v>
      </c>
      <c r="AQ105" s="90">
        <f t="shared" si="54"/>
        <v>46793</v>
      </c>
      <c r="AR105" s="238"/>
      <c r="AS105" s="9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426"/>
      <c r="BI105" s="426"/>
      <c r="BJ105" s="426"/>
      <c r="BK105" s="426"/>
      <c r="BL105" s="10"/>
      <c r="BM105" s="9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425" t="s">
        <v>232</v>
      </c>
      <c r="CF105" s="425" t="s">
        <v>232</v>
      </c>
      <c r="CG105" s="425" t="s">
        <v>232</v>
      </c>
      <c r="CH105" s="425" t="s">
        <v>232</v>
      </c>
      <c r="CI105" s="10"/>
      <c r="CJ105" s="10"/>
      <c r="CK105" s="426"/>
      <c r="CL105" s="10"/>
      <c r="CM105" s="9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</row>
    <row r="106" spans="2:104" ht="50.25" customHeight="1">
      <c r="B106" s="10"/>
      <c r="C106" s="33"/>
      <c r="D106" s="384"/>
      <c r="E106" s="384"/>
      <c r="F106" s="411"/>
      <c r="G106" s="439"/>
      <c r="H106" s="412"/>
      <c r="I106" s="10" t="str">
        <f t="shared" si="59"/>
        <v/>
      </c>
      <c r="J106" s="290"/>
      <c r="K106" s="90"/>
      <c r="L106" s="290"/>
      <c r="M106" s="90" t="str">
        <f t="shared" si="60"/>
        <v/>
      </c>
      <c r="N106" s="39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387"/>
      <c r="AG106" s="10" t="str">
        <f t="shared" si="61"/>
        <v/>
      </c>
      <c r="AH106" s="10"/>
      <c r="AI106" s="10" t="str">
        <f t="shared" si="58"/>
        <v/>
      </c>
      <c r="AJ106" s="10"/>
      <c r="AK106" s="10"/>
      <c r="AL106" s="10"/>
      <c r="AM106" s="10"/>
      <c r="AN106" s="10"/>
      <c r="AO106" s="10" t="str">
        <f t="shared" si="56"/>
        <v/>
      </c>
      <c r="AP106" s="90"/>
      <c r="AQ106" s="90"/>
      <c r="AR106" s="238"/>
      <c r="AS106" s="9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426"/>
      <c r="BI106" s="426"/>
      <c r="BJ106" s="426"/>
      <c r="BK106" s="426"/>
      <c r="BL106" s="10"/>
      <c r="BM106" s="9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425" t="s">
        <v>232</v>
      </c>
      <c r="CF106" s="425" t="s">
        <v>232</v>
      </c>
      <c r="CG106" s="425" t="s">
        <v>232</v>
      </c>
      <c r="CH106" s="425" t="s">
        <v>232</v>
      </c>
      <c r="CI106" s="10"/>
      <c r="CJ106" s="10"/>
      <c r="CK106" s="426"/>
      <c r="CL106" s="10"/>
      <c r="CM106" s="9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</row>
    <row r="107" spans="2:104" ht="50.25" customHeight="1">
      <c r="B107" s="10"/>
      <c r="C107" s="33"/>
      <c r="D107" s="384"/>
      <c r="E107" s="384"/>
      <c r="F107" s="411"/>
      <c r="G107" s="439"/>
      <c r="H107" s="412"/>
      <c r="I107" s="10" t="str">
        <f t="shared" si="59"/>
        <v/>
      </c>
      <c r="J107" s="290"/>
      <c r="K107" s="90"/>
      <c r="L107" s="290"/>
      <c r="M107" s="90" t="str">
        <f t="shared" si="60"/>
        <v/>
      </c>
      <c r="N107" s="39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387"/>
      <c r="AG107" s="10" t="str">
        <f t="shared" si="61"/>
        <v/>
      </c>
      <c r="AH107" s="10"/>
      <c r="AI107" s="10" t="str">
        <f t="shared" si="58"/>
        <v/>
      </c>
      <c r="AJ107" s="10"/>
      <c r="AK107" s="10"/>
      <c r="AL107" s="10"/>
      <c r="AM107" s="10"/>
      <c r="AN107" s="10"/>
      <c r="AO107" s="10" t="str">
        <f t="shared" si="56"/>
        <v/>
      </c>
      <c r="AP107" s="90"/>
      <c r="AQ107" s="90"/>
      <c r="AR107" s="238"/>
      <c r="AS107" s="9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426"/>
      <c r="BI107" s="426"/>
      <c r="BJ107" s="426"/>
      <c r="BK107" s="426"/>
      <c r="BL107" s="10"/>
      <c r="BM107" s="9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425" t="s">
        <v>232</v>
      </c>
      <c r="CF107" s="425" t="s">
        <v>232</v>
      </c>
      <c r="CG107" s="425" t="s">
        <v>232</v>
      </c>
      <c r="CH107" s="425" t="s">
        <v>232</v>
      </c>
      <c r="CI107" s="10"/>
      <c r="CJ107" s="10"/>
      <c r="CK107" s="426"/>
      <c r="CL107" s="10"/>
      <c r="CM107" s="9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</row>
    <row r="108" spans="2:104" ht="50.25" customHeight="1">
      <c r="B108" s="10"/>
      <c r="C108" s="33"/>
      <c r="D108" s="384"/>
      <c r="E108" s="384"/>
      <c r="F108" s="411"/>
      <c r="G108" s="439"/>
      <c r="H108" s="412"/>
      <c r="I108" s="10" t="str">
        <f t="shared" si="59"/>
        <v/>
      </c>
      <c r="J108" s="290"/>
      <c r="K108" s="90"/>
      <c r="L108" s="290"/>
      <c r="M108" s="90" t="str">
        <f t="shared" si="60"/>
        <v/>
      </c>
      <c r="N108" s="39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387"/>
      <c r="AG108" s="10" t="str">
        <f t="shared" si="61"/>
        <v/>
      </c>
      <c r="AH108" s="10"/>
      <c r="AI108" s="10" t="str">
        <f t="shared" si="58"/>
        <v/>
      </c>
      <c r="AJ108" s="10"/>
      <c r="AK108" s="10"/>
      <c r="AL108" s="10"/>
      <c r="AM108" s="10"/>
      <c r="AN108" s="10"/>
      <c r="AO108" s="10" t="str">
        <f t="shared" si="56"/>
        <v/>
      </c>
      <c r="AP108" s="90"/>
      <c r="AQ108" s="90"/>
      <c r="AR108" s="238"/>
      <c r="AS108" s="9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426"/>
      <c r="BI108" s="426"/>
      <c r="BJ108" s="426"/>
      <c r="BK108" s="426"/>
      <c r="BL108" s="10"/>
      <c r="BM108" s="9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425" t="s">
        <v>232</v>
      </c>
      <c r="CF108" s="425" t="s">
        <v>232</v>
      </c>
      <c r="CG108" s="425" t="s">
        <v>232</v>
      </c>
      <c r="CH108" s="425" t="s">
        <v>232</v>
      </c>
      <c r="CI108" s="10"/>
      <c r="CJ108" s="10"/>
      <c r="CK108" s="426"/>
      <c r="CL108" s="10"/>
      <c r="CM108" s="9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</row>
    <row r="109" spans="2:104" ht="50.25" customHeight="1">
      <c r="B109" s="10"/>
      <c r="C109" s="33"/>
      <c r="D109" s="384"/>
      <c r="E109" s="384"/>
      <c r="F109" s="411"/>
      <c r="G109" s="439"/>
      <c r="H109" s="412"/>
      <c r="I109" s="10" t="str">
        <f t="shared" si="59"/>
        <v/>
      </c>
      <c r="J109" s="290"/>
      <c r="K109" s="90"/>
      <c r="L109" s="290"/>
      <c r="M109" s="90" t="str">
        <f t="shared" si="60"/>
        <v/>
      </c>
      <c r="N109" s="39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387"/>
      <c r="AG109" s="10" t="str">
        <f t="shared" si="61"/>
        <v/>
      </c>
      <c r="AH109" s="10"/>
      <c r="AI109" s="10" t="str">
        <f t="shared" si="58"/>
        <v/>
      </c>
      <c r="AJ109" s="10"/>
      <c r="AK109" s="10"/>
      <c r="AL109" s="10"/>
      <c r="AM109" s="10"/>
      <c r="AN109" s="10"/>
      <c r="AO109" s="10" t="str">
        <f t="shared" si="56"/>
        <v/>
      </c>
      <c r="AP109" s="90"/>
      <c r="AQ109" s="90"/>
      <c r="AR109" s="238"/>
      <c r="AS109" s="9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426"/>
      <c r="BI109" s="426"/>
      <c r="BJ109" s="426"/>
      <c r="BK109" s="426"/>
      <c r="BL109" s="10"/>
      <c r="BM109" s="9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425" t="s">
        <v>232</v>
      </c>
      <c r="CF109" s="425" t="s">
        <v>232</v>
      </c>
      <c r="CG109" s="425" t="s">
        <v>232</v>
      </c>
      <c r="CH109" s="425" t="s">
        <v>232</v>
      </c>
      <c r="CI109" s="10"/>
      <c r="CJ109" s="10"/>
      <c r="CK109" s="426"/>
      <c r="CL109" s="10"/>
      <c r="CM109" s="9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</row>
    <row r="110" spans="2:104" ht="63" customHeight="1">
      <c r="B110" s="38"/>
      <c r="C110" s="34"/>
      <c r="D110" s="402"/>
      <c r="E110" s="402"/>
      <c r="F110" s="414"/>
      <c r="G110" s="439"/>
      <c r="H110" s="415"/>
      <c r="I110" s="38" t="str">
        <f t="shared" si="59"/>
        <v/>
      </c>
      <c r="J110" s="404"/>
      <c r="K110" s="97"/>
      <c r="L110" s="404"/>
      <c r="M110" s="97" t="str">
        <f t="shared" si="60"/>
        <v/>
      </c>
      <c r="N110" s="42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387"/>
      <c r="AG110" s="10" t="str">
        <f t="shared" si="61"/>
        <v/>
      </c>
      <c r="AH110" s="10"/>
      <c r="AI110" s="10" t="str">
        <f t="shared" si="58"/>
        <v/>
      </c>
      <c r="AJ110" s="10"/>
      <c r="AK110" s="10"/>
      <c r="AL110" s="10"/>
      <c r="AM110" s="10"/>
      <c r="AN110" s="10"/>
      <c r="AO110" s="10" t="str">
        <f t="shared" si="56"/>
        <v/>
      </c>
      <c r="AP110" s="90"/>
      <c r="AQ110" s="90"/>
      <c r="AR110" s="238"/>
      <c r="AS110" s="9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426"/>
      <c r="BI110" s="426"/>
      <c r="BJ110" s="426"/>
      <c r="BK110" s="426"/>
      <c r="BL110" s="10"/>
      <c r="BM110" s="9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425" t="s">
        <v>232</v>
      </c>
      <c r="CF110" s="425" t="s">
        <v>232</v>
      </c>
      <c r="CG110" s="425" t="s">
        <v>232</v>
      </c>
      <c r="CH110" s="425" t="s">
        <v>232</v>
      </c>
      <c r="CI110" s="10"/>
      <c r="CJ110" s="10"/>
      <c r="CK110" s="426"/>
      <c r="CL110" s="10"/>
      <c r="CM110" s="9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</row>
    <row r="111" spans="2:104" ht="15" customHeight="1">
      <c r="B111" s="38"/>
      <c r="C111" s="34"/>
      <c r="D111" s="35"/>
      <c r="E111" s="35"/>
      <c r="F111" s="36"/>
      <c r="G111" s="450"/>
      <c r="H111" s="96"/>
      <c r="I111" s="38" t="str">
        <f t="shared" si="59"/>
        <v/>
      </c>
      <c r="J111" s="96"/>
      <c r="K111" s="97"/>
      <c r="L111" s="96"/>
      <c r="M111" s="97" t="str">
        <f t="shared" si="60"/>
        <v/>
      </c>
      <c r="N111" s="38"/>
      <c r="O111" s="38"/>
      <c r="P111" s="413"/>
      <c r="Q111" s="413"/>
      <c r="R111" s="413"/>
      <c r="S111" s="413"/>
      <c r="T111" s="413"/>
      <c r="U111" s="413"/>
      <c r="V111" s="413"/>
      <c r="W111" s="413"/>
      <c r="X111" s="413"/>
      <c r="Y111" s="413"/>
      <c r="Z111" s="394"/>
      <c r="AA111" s="394"/>
      <c r="AB111" s="394"/>
      <c r="AC111" s="394"/>
      <c r="AD111" s="394"/>
      <c r="AE111" s="394"/>
      <c r="AF111" s="37"/>
      <c r="AG111" s="38" t="str">
        <f t="shared" si="61"/>
        <v/>
      </c>
      <c r="AH111" s="38"/>
      <c r="AI111" s="38" t="str">
        <f t="shared" si="58"/>
        <v/>
      </c>
      <c r="AJ111" s="38"/>
      <c r="AK111" s="38"/>
      <c r="AL111" s="38"/>
      <c r="AM111" s="38"/>
      <c r="AN111" s="38"/>
      <c r="AO111" s="38" t="str">
        <f t="shared" si="56"/>
        <v/>
      </c>
      <c r="AP111" s="451"/>
      <c r="AQ111" s="451"/>
      <c r="AR111" s="452"/>
      <c r="AS111" s="451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240"/>
      <c r="BG111" s="240"/>
      <c r="BL111" s="38"/>
      <c r="BM111" s="453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 t="s">
        <v>577</v>
      </c>
      <c r="CA111" s="38"/>
      <c r="CB111" s="397"/>
      <c r="CC111" s="38"/>
      <c r="CD111" s="38"/>
      <c r="CE111" s="453"/>
      <c r="CF111" s="453"/>
      <c r="CG111" s="453"/>
      <c r="CH111" s="454"/>
      <c r="CI111" s="38"/>
      <c r="CJ111" s="38"/>
      <c r="CL111" s="455"/>
      <c r="CM111" s="416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</row>
    <row r="112" spans="2:104" ht="15" customHeight="1">
      <c r="CL112" s="68"/>
    </row>
    <row r="113" spans="6:90" ht="15" customHeight="1">
      <c r="CL113" s="68"/>
    </row>
    <row r="114" spans="6:90" ht="15" customHeight="1">
      <c r="CL114" s="68"/>
    </row>
    <row r="115" spans="6:90" ht="15" customHeight="1">
      <c r="CL115" s="68"/>
    </row>
    <row r="116" spans="6:90" ht="15" customHeight="1">
      <c r="CL116" s="68"/>
    </row>
    <row r="117" spans="6:90" ht="15" customHeight="1">
      <c r="AF117"/>
      <c r="AG117"/>
      <c r="CL117" s="68"/>
    </row>
    <row r="118" spans="6:90" ht="15" customHeight="1">
      <c r="AG118"/>
      <c r="CL118" s="68"/>
    </row>
    <row r="119" spans="6:90" ht="15" customHeight="1">
      <c r="AF119"/>
      <c r="AG119"/>
      <c r="CL119" s="68"/>
    </row>
    <row r="120" spans="6:90" ht="15" customHeight="1">
      <c r="O120" s="124"/>
      <c r="P120" s="124"/>
      <c r="AF120"/>
      <c r="AG120"/>
      <c r="CL120" s="68"/>
    </row>
    <row r="121" spans="6:90" ht="15" customHeight="1">
      <c r="O121" s="124"/>
      <c r="P121" s="124"/>
      <c r="CL121" s="68"/>
    </row>
    <row r="122" spans="6:90" ht="15" customHeight="1">
      <c r="O122" s="124"/>
      <c r="P122" s="124"/>
      <c r="CL122" s="68"/>
    </row>
    <row r="123" spans="6:90" ht="15" customHeight="1">
      <c r="O123" s="124"/>
      <c r="P123" s="124"/>
      <c r="CL123" s="68"/>
    </row>
    <row r="124" spans="6:90" ht="15" customHeight="1">
      <c r="O124" s="124"/>
      <c r="P124" s="124"/>
      <c r="CL124" s="68"/>
    </row>
    <row r="125" spans="6:90" ht="15" customHeight="1">
      <c r="O125" s="124"/>
      <c r="P125" s="124"/>
      <c r="CL125" s="68"/>
    </row>
    <row r="126" spans="6:90" ht="15" customHeight="1">
      <c r="CL126" s="68"/>
    </row>
    <row r="127" spans="6:90" ht="15" customHeight="1">
      <c r="CL127" s="68"/>
    </row>
    <row r="128" spans="6:90" ht="15" customHeight="1">
      <c r="F128" s="124"/>
      <c r="CL128" s="68"/>
    </row>
    <row r="129" spans="6:90" ht="15" customHeight="1">
      <c r="F129" s="124"/>
      <c r="CL129" s="68"/>
    </row>
    <row r="130" spans="6:90" ht="15" customHeight="1">
      <c r="CL130" s="68"/>
    </row>
    <row r="131" spans="6:90" ht="15" customHeight="1">
      <c r="CL131" s="68"/>
    </row>
    <row r="132" spans="6:90" ht="15" customHeight="1">
      <c r="CL132" s="68"/>
    </row>
    <row r="133" spans="6:90" ht="15" customHeight="1">
      <c r="CL133" s="68"/>
    </row>
    <row r="134" spans="6:90" ht="15" customHeight="1">
      <c r="CL134" s="68"/>
    </row>
    <row r="135" spans="6:90" ht="15" customHeight="1">
      <c r="CL135" s="68"/>
    </row>
    <row r="136" spans="6:90" ht="15" customHeight="1">
      <c r="CL136" s="68"/>
    </row>
    <row r="137" spans="6:90" ht="15" customHeight="1">
      <c r="CL137" s="68"/>
    </row>
    <row r="138" spans="6:90" ht="15" customHeight="1">
      <c r="CL138" s="68"/>
    </row>
    <row r="139" spans="6:90" ht="15" customHeight="1">
      <c r="CL139" s="68"/>
    </row>
    <row r="140" spans="6:90" ht="15" customHeight="1">
      <c r="CL140" s="68"/>
    </row>
    <row r="141" spans="6:90" ht="15" customHeight="1">
      <c r="CL141" s="68"/>
    </row>
    <row r="142" spans="6:90" ht="15" customHeight="1">
      <c r="CL142" s="68"/>
    </row>
    <row r="143" spans="6:90" ht="15" customHeight="1">
      <c r="CL143" s="68"/>
    </row>
    <row r="144" spans="6:90" ht="15" customHeight="1">
      <c r="CL144" s="68"/>
    </row>
    <row r="145" spans="90:90" ht="15" customHeight="1">
      <c r="CL145" s="68"/>
    </row>
    <row r="146" spans="90:90" ht="15" customHeight="1">
      <c r="CL146" s="68"/>
    </row>
    <row r="147" spans="90:90" ht="15" customHeight="1">
      <c r="CL147" s="68"/>
    </row>
    <row r="148" spans="90:90" ht="15" customHeight="1">
      <c r="CL148" s="68"/>
    </row>
    <row r="149" spans="90:90" ht="15" customHeight="1">
      <c r="CL149" s="68"/>
    </row>
  </sheetData>
  <mergeCells count="5">
    <mergeCell ref="B1:E1"/>
    <mergeCell ref="H2:AS2"/>
    <mergeCell ref="AT2:BK2"/>
    <mergeCell ref="BL2:BT2"/>
    <mergeCell ref="BU2:CZ2"/>
  </mergeCells>
  <conditionalFormatting sqref="I4:BM1000">
    <cfRule type="expression" dxfId="773" priority="2" stopIfTrue="1">
      <formula>AND(ISODD(COLUMN(I4)), I4&lt;&gt;"", I4-TODAY() &lt;= 90)</formula>
    </cfRule>
    <cfRule type="expression" dxfId="772" priority="3">
      <formula>AND(ISODD(COLUMN(I4)), YEAR(I4)=YEAR(TODAY()), I4-TODAY()&gt;90, I4-TODAY()&lt;=365)</formula>
    </cfRule>
  </conditionalFormatting>
  <conditionalFormatting sqref="J4:J73">
    <cfRule type="expression" priority="1">
      <formula>IF(I4="", "", IF(I4-TODAY()&lt;=90, "⚠️ ด่วน!", IF(AND(YEAR(I4)=YEAR(TODAY()), I4-TODAY()&lt;=365), "📅 ใกล้ครบปีนี้", "✅ ปกติ")))</formula>
    </cfRule>
  </conditionalFormatting>
  <conditionalFormatting sqref="K211:K1048576 M211:M1048576 S211:AE1048576 AG211:AG1048576 AI211:AI1048576 AU211:AU1048576 AW211:AW1048576 BP211:BQ1048576">
    <cfRule type="expression" dxfId="771" priority="13" stopIfTrue="1">
      <formula xml:space="preserve"> AND(K211&gt;TODAY(),K211-TODAY()&lt;=180)</formula>
    </cfRule>
  </conditionalFormatting>
  <conditionalFormatting sqref="O211:O1048576 Q211:Q1048576 AO211:AS1048576 BE211:BK1048576">
    <cfRule type="expression" dxfId="770" priority="10" stopIfTrue="1">
      <formula xml:space="preserve"> AND(O211&gt;TODAY(),O211-TODAY()&lt;=180)</formula>
    </cfRule>
  </conditionalFormatting>
  <conditionalFormatting sqref="O211:O1048576 Q211:Q1048576 AO211:AS1048576">
    <cfRule type="expression" dxfId="769" priority="11" stopIfTrue="1">
      <formula>O211&lt;=TODAY()</formula>
    </cfRule>
  </conditionalFormatting>
  <conditionalFormatting sqref="BE211:BK1048576 K211:K1048576 M211:M1048576 S211:AE1048576 AG211:AG1048576 AI211:AI1048576 AU211:AU1048576 AW211:AW1048576 BP211:BQ1048576">
    <cfRule type="expression" dxfId="768" priority="12" stopIfTrue="1">
      <formula>K211&lt;=TODAY()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0" fitToWidth="0" orientation="landscape" r:id="rId1"/>
  <headerFooter>
    <oddHeader>&amp;L&amp;G&amp;C&amp;28Training Record Monitoring</oddHeader>
    <oddFooter>&amp;CSAMS-FM-CM-072-Training Record Monitoring-Rev.01-Date 05 AUG 2025&amp;R&amp;P&amp;N</oddFooter>
  </headerFooter>
  <colBreaks count="1" manualBreakCount="1">
    <brk id="98" max="71" man="1"/>
  </colBreaks>
  <legacyDrawing r:id="rId2"/>
  <legacyDrawingHF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73A7-51B2-4F77-9665-481673ADFD18}">
  <sheetPr>
    <pageSetUpPr fitToPage="1"/>
  </sheetPr>
  <dimension ref="A1:AU21"/>
  <sheetViews>
    <sheetView topLeftCell="B1" zoomScale="80" zoomScaleNormal="80" workbookViewId="0">
      <pane xSplit="4" ySplit="4" topLeftCell="F5" activePane="bottomRight" state="frozen"/>
      <selection pane="bottomRight" activeCell="E12" sqref="E12"/>
      <selection pane="bottomLeft"/>
      <selection pane="topRight"/>
    </sheetView>
  </sheetViews>
  <sheetFormatPr defaultRowHeight="15" customHeight="1"/>
  <cols>
    <col min="1" max="1" width="5.75" customWidth="1"/>
    <col min="2" max="2" width="13.125" customWidth="1"/>
    <col min="3" max="4" width="20.75" customWidth="1"/>
    <col min="5" max="5" width="35.75" customWidth="1"/>
    <col min="6" max="47" width="11.75" customWidth="1"/>
  </cols>
  <sheetData>
    <row r="1" spans="1:47" ht="27" customHeight="1">
      <c r="A1" s="537" t="s">
        <v>578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537"/>
      <c r="AO1" s="537"/>
      <c r="AP1" s="537"/>
      <c r="AQ1" s="537"/>
      <c r="AR1" s="537"/>
      <c r="AS1" s="537"/>
      <c r="AT1" s="537"/>
      <c r="AU1" s="537"/>
    </row>
    <row r="2" spans="1:47" ht="20.25" customHeight="1">
      <c r="A2" s="2" t="s">
        <v>119</v>
      </c>
      <c r="B2" s="3">
        <f ca="1">TODAY()</f>
        <v>46091</v>
      </c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  <c r="AM2" s="538"/>
      <c r="AN2" s="538"/>
      <c r="AO2" s="538"/>
      <c r="AP2" s="538"/>
      <c r="AQ2" s="538"/>
      <c r="AR2" s="538"/>
      <c r="AS2" s="538"/>
      <c r="AT2" s="538"/>
      <c r="AU2" s="538"/>
    </row>
    <row r="3" spans="1:47" ht="200.25" customHeight="1">
      <c r="A3" s="539"/>
      <c r="B3" s="30" t="s">
        <v>124</v>
      </c>
      <c r="C3" s="28" t="s">
        <v>125</v>
      </c>
      <c r="D3" s="28" t="s">
        <v>126</v>
      </c>
      <c r="E3" s="21" t="s">
        <v>127</v>
      </c>
      <c r="F3" s="23" t="s">
        <v>129</v>
      </c>
      <c r="G3" s="23" t="s">
        <v>579</v>
      </c>
      <c r="H3" s="24" t="s">
        <v>15</v>
      </c>
      <c r="I3" s="24" t="s">
        <v>131</v>
      </c>
      <c r="J3" s="24" t="s">
        <v>580</v>
      </c>
      <c r="K3" s="24" t="s">
        <v>581</v>
      </c>
      <c r="L3" s="24" t="s">
        <v>47</v>
      </c>
      <c r="M3" s="24" t="s">
        <v>132</v>
      </c>
      <c r="N3" s="24" t="s">
        <v>133</v>
      </c>
      <c r="O3" s="24" t="s">
        <v>134</v>
      </c>
      <c r="P3" s="24" t="s">
        <v>135</v>
      </c>
      <c r="Q3" s="24" t="s">
        <v>136</v>
      </c>
      <c r="R3" s="24" t="s">
        <v>137</v>
      </c>
      <c r="S3" s="24" t="s">
        <v>582</v>
      </c>
      <c r="T3" s="24" t="s">
        <v>583</v>
      </c>
      <c r="U3" s="24" t="s">
        <v>152</v>
      </c>
      <c r="V3" s="24" t="s">
        <v>153</v>
      </c>
      <c r="W3" s="24" t="s">
        <v>154</v>
      </c>
      <c r="X3" s="24" t="s">
        <v>46</v>
      </c>
      <c r="Y3" s="24" t="s">
        <v>155</v>
      </c>
      <c r="Z3" s="25" t="s">
        <v>164</v>
      </c>
      <c r="AA3" s="25" t="s">
        <v>584</v>
      </c>
      <c r="AB3" s="25" t="s">
        <v>166</v>
      </c>
      <c r="AC3" s="25" t="s">
        <v>585</v>
      </c>
      <c r="AD3" s="25" t="s">
        <v>168</v>
      </c>
      <c r="AE3" s="25" t="s">
        <v>586</v>
      </c>
      <c r="AF3" s="26" t="s">
        <v>587</v>
      </c>
      <c r="AG3" s="26" t="s">
        <v>588</v>
      </c>
      <c r="AH3" s="26" t="s">
        <v>184</v>
      </c>
      <c r="AI3" s="26" t="s">
        <v>589</v>
      </c>
      <c r="AJ3" s="26" t="s">
        <v>185</v>
      </c>
      <c r="AK3" s="26" t="s">
        <v>590</v>
      </c>
      <c r="AL3" s="26" t="s">
        <v>591</v>
      </c>
      <c r="AM3" s="26" t="s">
        <v>592</v>
      </c>
      <c r="AN3" s="27" t="s">
        <v>156</v>
      </c>
      <c r="AO3" s="27" t="s">
        <v>157</v>
      </c>
      <c r="AP3" s="26" t="s">
        <v>593</v>
      </c>
      <c r="AQ3" s="26" t="s">
        <v>594</v>
      </c>
      <c r="AR3" s="26" t="s">
        <v>188</v>
      </c>
      <c r="AS3" s="26" t="s">
        <v>595</v>
      </c>
      <c r="AT3" s="26" t="s">
        <v>189</v>
      </c>
      <c r="AU3" s="26" t="s">
        <v>596</v>
      </c>
    </row>
    <row r="4" spans="1:47" ht="20.25" customHeight="1">
      <c r="A4" s="540"/>
      <c r="B4" s="31"/>
      <c r="C4" s="29"/>
      <c r="D4" s="29"/>
      <c r="E4" s="22"/>
      <c r="F4" s="4" t="s">
        <v>224</v>
      </c>
      <c r="G4" s="5" t="s">
        <v>225</v>
      </c>
      <c r="H4" s="4" t="s">
        <v>224</v>
      </c>
      <c r="I4" s="5" t="s">
        <v>225</v>
      </c>
      <c r="J4" s="4" t="s">
        <v>224</v>
      </c>
      <c r="K4" s="5" t="s">
        <v>225</v>
      </c>
      <c r="L4" s="4" t="s">
        <v>224</v>
      </c>
      <c r="M4" s="5" t="s">
        <v>225</v>
      </c>
      <c r="N4" s="4" t="s">
        <v>224</v>
      </c>
      <c r="O4" s="5" t="s">
        <v>225</v>
      </c>
      <c r="P4" s="4" t="s">
        <v>224</v>
      </c>
      <c r="Q4" s="5" t="s">
        <v>225</v>
      </c>
      <c r="R4" s="4" t="s">
        <v>224</v>
      </c>
      <c r="S4" s="5" t="s">
        <v>225</v>
      </c>
      <c r="T4" s="4" t="s">
        <v>224</v>
      </c>
      <c r="U4" s="5" t="s">
        <v>225</v>
      </c>
      <c r="V4" s="4" t="s">
        <v>224</v>
      </c>
      <c r="W4" s="5" t="s">
        <v>225</v>
      </c>
      <c r="X4" s="4" t="s">
        <v>224</v>
      </c>
      <c r="Y4" s="5" t="s">
        <v>225</v>
      </c>
      <c r="Z4" s="4" t="s">
        <v>224</v>
      </c>
      <c r="AA4" s="5" t="s">
        <v>225</v>
      </c>
      <c r="AB4" s="4" t="s">
        <v>224</v>
      </c>
      <c r="AC4" s="5" t="s">
        <v>225</v>
      </c>
      <c r="AD4" s="4" t="s">
        <v>224</v>
      </c>
      <c r="AE4" s="5" t="s">
        <v>225</v>
      </c>
      <c r="AF4" s="4" t="s">
        <v>224</v>
      </c>
      <c r="AG4" s="5" t="s">
        <v>225</v>
      </c>
      <c r="AH4" s="4" t="s">
        <v>224</v>
      </c>
      <c r="AI4" s="5" t="s">
        <v>225</v>
      </c>
      <c r="AJ4" s="4" t="s">
        <v>224</v>
      </c>
      <c r="AK4" s="5" t="s">
        <v>225</v>
      </c>
      <c r="AL4" s="4" t="s">
        <v>224</v>
      </c>
      <c r="AM4" s="5" t="s">
        <v>225</v>
      </c>
      <c r="AN4" s="4" t="s">
        <v>224</v>
      </c>
      <c r="AO4" s="5" t="s">
        <v>225</v>
      </c>
      <c r="AP4" s="4" t="s">
        <v>224</v>
      </c>
      <c r="AQ4" s="5" t="s">
        <v>225</v>
      </c>
      <c r="AR4" s="4" t="s">
        <v>224</v>
      </c>
      <c r="AS4" s="5" t="s">
        <v>225</v>
      </c>
      <c r="AT4" s="4" t="s">
        <v>224</v>
      </c>
      <c r="AU4" s="6" t="s">
        <v>225</v>
      </c>
    </row>
    <row r="5" spans="1:47" ht="35.25" customHeight="1">
      <c r="A5" s="13" t="s">
        <v>597</v>
      </c>
      <c r="B5" s="32" t="s">
        <v>598</v>
      </c>
      <c r="C5" s="14" t="s">
        <v>599</v>
      </c>
      <c r="D5" s="15" t="s">
        <v>600</v>
      </c>
      <c r="E5" s="16" t="s">
        <v>601</v>
      </c>
      <c r="F5" s="17">
        <v>44575</v>
      </c>
      <c r="G5" s="17">
        <f t="shared" ref="G5:G19" si="0">IF(ISBLANK(F5),"",EDATE(F5,24))</f>
        <v>45305</v>
      </c>
      <c r="H5" s="17">
        <v>44578</v>
      </c>
      <c r="I5" s="17">
        <f t="shared" ref="I5:I10" si="1">IF(ISBLANK(H5),"",EDATE(H5,24))</f>
        <v>45308</v>
      </c>
      <c r="J5" s="17">
        <v>45116</v>
      </c>
      <c r="K5" s="17">
        <f t="shared" ref="K5:K10" si="2">IF(ISBLANK(J5),"",EDATE(J5,24))</f>
        <v>45847</v>
      </c>
      <c r="L5" s="17">
        <v>44586</v>
      </c>
      <c r="M5" s="17">
        <f t="shared" ref="K5:U11" si="3">IF(ISBLANK(L5),"",EDATE(L5,24))</f>
        <v>45316</v>
      </c>
      <c r="N5" s="17">
        <v>44771</v>
      </c>
      <c r="O5" s="17">
        <f>IF(ISBLANK(N5),"",EDATE(N5,24))</f>
        <v>45502</v>
      </c>
      <c r="P5" s="18" t="s">
        <v>232</v>
      </c>
      <c r="Q5" s="18" t="s">
        <v>232</v>
      </c>
      <c r="R5" s="18" t="s">
        <v>232</v>
      </c>
      <c r="S5" s="18" t="s">
        <v>232</v>
      </c>
      <c r="T5" s="17">
        <v>44743</v>
      </c>
      <c r="U5" s="17">
        <f t="shared" ref="U5:U10" si="4">IF(ISBLANK(T5),"",EDATE(T5,24))</f>
        <v>45474</v>
      </c>
      <c r="V5" s="17">
        <v>44581</v>
      </c>
      <c r="W5" s="18" t="s">
        <v>232</v>
      </c>
      <c r="X5" s="17">
        <v>44603</v>
      </c>
      <c r="Y5" s="18" t="s">
        <v>232</v>
      </c>
      <c r="Z5" s="18" t="s">
        <v>232</v>
      </c>
      <c r="AA5" s="18" t="s">
        <v>232</v>
      </c>
      <c r="AB5" s="18" t="s">
        <v>232</v>
      </c>
      <c r="AC5" s="18" t="s">
        <v>232</v>
      </c>
      <c r="AD5" s="18" t="s">
        <v>232</v>
      </c>
      <c r="AE5" s="18" t="s">
        <v>232</v>
      </c>
      <c r="AF5" s="17">
        <v>44705</v>
      </c>
      <c r="AG5" s="18" t="s">
        <v>232</v>
      </c>
      <c r="AH5" s="17">
        <v>44735</v>
      </c>
      <c r="AI5" s="18" t="s">
        <v>232</v>
      </c>
      <c r="AJ5" s="18" t="s">
        <v>232</v>
      </c>
      <c r="AK5" s="18" t="s">
        <v>232</v>
      </c>
      <c r="AL5" s="17">
        <v>44735</v>
      </c>
      <c r="AM5" s="18" t="s">
        <v>232</v>
      </c>
      <c r="AN5" s="18" t="s">
        <v>232</v>
      </c>
      <c r="AO5" s="18" t="s">
        <v>232</v>
      </c>
      <c r="AP5" s="18" t="s">
        <v>602</v>
      </c>
      <c r="AQ5" s="18" t="s">
        <v>232</v>
      </c>
      <c r="AR5" s="18" t="s">
        <v>232</v>
      </c>
      <c r="AS5" s="18" t="s">
        <v>232</v>
      </c>
      <c r="AT5" s="18" t="s">
        <v>603</v>
      </c>
      <c r="AU5" s="18" t="s">
        <v>232</v>
      </c>
    </row>
    <row r="6" spans="1:47" ht="35.25" customHeight="1">
      <c r="A6" s="8" t="s">
        <v>604</v>
      </c>
      <c r="B6" s="33" t="s">
        <v>605</v>
      </c>
      <c r="C6" s="7" t="s">
        <v>606</v>
      </c>
      <c r="D6" s="7" t="s">
        <v>607</v>
      </c>
      <c r="E6" s="9" t="s">
        <v>273</v>
      </c>
      <c r="F6" s="10">
        <v>44575</v>
      </c>
      <c r="G6" s="10">
        <f t="shared" si="0"/>
        <v>45305</v>
      </c>
      <c r="H6" s="10">
        <v>44578</v>
      </c>
      <c r="I6" s="10">
        <f t="shared" si="1"/>
        <v>45308</v>
      </c>
      <c r="J6" s="10">
        <v>45116</v>
      </c>
      <c r="K6" s="10">
        <f t="shared" si="2"/>
        <v>45847</v>
      </c>
      <c r="L6" s="10">
        <v>44586</v>
      </c>
      <c r="M6" s="10">
        <f t="shared" si="3"/>
        <v>45316</v>
      </c>
      <c r="N6" s="17">
        <v>44771</v>
      </c>
      <c r="O6" s="17">
        <f>IF(ISBLANK(N6),"",EDATE(N6,24))</f>
        <v>45502</v>
      </c>
      <c r="P6" s="10">
        <v>44972</v>
      </c>
      <c r="Q6" s="10">
        <f>IF(ISBLANK(P6),"",EDATE(P6,24))</f>
        <v>45703</v>
      </c>
      <c r="R6" s="18" t="s">
        <v>232</v>
      </c>
      <c r="S6" s="18" t="s">
        <v>232</v>
      </c>
      <c r="T6" s="10">
        <v>44743</v>
      </c>
      <c r="U6" s="10">
        <f t="shared" si="4"/>
        <v>45474</v>
      </c>
      <c r="V6" s="10">
        <v>44581</v>
      </c>
      <c r="W6" s="11" t="s">
        <v>232</v>
      </c>
      <c r="X6" s="11" t="s">
        <v>232</v>
      </c>
      <c r="Y6" s="11" t="s">
        <v>232</v>
      </c>
      <c r="Z6" s="11" t="s">
        <v>232</v>
      </c>
      <c r="AA6" s="11" t="s">
        <v>232</v>
      </c>
      <c r="AB6" s="11" t="s">
        <v>232</v>
      </c>
      <c r="AC6" s="11" t="s">
        <v>232</v>
      </c>
      <c r="AD6" s="11" t="s">
        <v>232</v>
      </c>
      <c r="AE6" s="11" t="s">
        <v>232</v>
      </c>
      <c r="AF6" s="11" t="s">
        <v>232</v>
      </c>
      <c r="AG6" s="11" t="s">
        <v>232</v>
      </c>
      <c r="AH6" s="11" t="s">
        <v>232</v>
      </c>
      <c r="AI6" s="11" t="s">
        <v>232</v>
      </c>
      <c r="AJ6" s="11" t="s">
        <v>232</v>
      </c>
      <c r="AK6" s="11" t="s">
        <v>232</v>
      </c>
      <c r="AL6" s="11" t="s">
        <v>232</v>
      </c>
      <c r="AM6" s="11" t="s">
        <v>232</v>
      </c>
      <c r="AN6" s="11" t="s">
        <v>232</v>
      </c>
      <c r="AO6" s="11" t="s">
        <v>232</v>
      </c>
      <c r="AP6" s="11" t="s">
        <v>232</v>
      </c>
      <c r="AQ6" s="11" t="s">
        <v>232</v>
      </c>
      <c r="AR6" s="11" t="s">
        <v>232</v>
      </c>
      <c r="AS6" s="11" t="s">
        <v>232</v>
      </c>
      <c r="AT6" s="11" t="s">
        <v>232</v>
      </c>
      <c r="AU6" s="11" t="s">
        <v>232</v>
      </c>
    </row>
    <row r="7" spans="1:47" ht="35.25" customHeight="1">
      <c r="A7" s="8" t="s">
        <v>608</v>
      </c>
      <c r="B7" s="33" t="s">
        <v>609</v>
      </c>
      <c r="C7" s="7" t="s">
        <v>610</v>
      </c>
      <c r="D7" s="7" t="s">
        <v>611</v>
      </c>
      <c r="E7" s="9" t="s">
        <v>612</v>
      </c>
      <c r="F7" s="10">
        <v>44497</v>
      </c>
      <c r="G7" s="10">
        <f>IF(ISBLANK(F7),"",EDATE(F7,24))</f>
        <v>45227</v>
      </c>
      <c r="H7" s="10">
        <v>44504</v>
      </c>
      <c r="I7" s="10">
        <f t="shared" si="1"/>
        <v>45234</v>
      </c>
      <c r="J7" s="10">
        <v>45116</v>
      </c>
      <c r="K7" s="10">
        <f t="shared" si="2"/>
        <v>45847</v>
      </c>
      <c r="L7" s="10">
        <v>44628</v>
      </c>
      <c r="M7" s="10">
        <f t="shared" si="3"/>
        <v>45359</v>
      </c>
      <c r="N7" s="10">
        <v>44575</v>
      </c>
      <c r="O7" s="10">
        <f>IF(ISBLANK(N7),"",EDATE(N7,24))</f>
        <v>45305</v>
      </c>
      <c r="P7" s="18" t="s">
        <v>232</v>
      </c>
      <c r="Q7" s="18" t="s">
        <v>232</v>
      </c>
      <c r="R7" s="18" t="s">
        <v>232</v>
      </c>
      <c r="S7" s="18" t="s">
        <v>232</v>
      </c>
      <c r="T7" s="10">
        <v>44910</v>
      </c>
      <c r="U7" s="10">
        <f t="shared" si="4"/>
        <v>45641</v>
      </c>
      <c r="V7" s="11" t="s">
        <v>232</v>
      </c>
      <c r="W7" s="11" t="s">
        <v>232</v>
      </c>
      <c r="X7" s="11" t="s">
        <v>232</v>
      </c>
      <c r="Y7" s="11" t="s">
        <v>232</v>
      </c>
      <c r="Z7" s="10">
        <v>44914</v>
      </c>
      <c r="AA7" s="10">
        <f t="shared" ref="AA7" si="5">IF(ISBLANK(Z7),"",EDATE(Z7,24))</f>
        <v>45645</v>
      </c>
      <c r="AB7" s="12">
        <v>45021</v>
      </c>
      <c r="AC7" s="19">
        <v>45752</v>
      </c>
      <c r="AD7" s="11" t="s">
        <v>232</v>
      </c>
      <c r="AE7" s="11" t="s">
        <v>232</v>
      </c>
      <c r="AF7" s="11" t="s">
        <v>232</v>
      </c>
      <c r="AG7" s="11" t="s">
        <v>232</v>
      </c>
      <c r="AH7" s="11" t="s">
        <v>232</v>
      </c>
      <c r="AI7" s="11" t="s">
        <v>232</v>
      </c>
      <c r="AJ7" s="11" t="s">
        <v>232</v>
      </c>
      <c r="AK7" s="11" t="s">
        <v>232</v>
      </c>
      <c r="AL7" s="11" t="s">
        <v>232</v>
      </c>
      <c r="AM7" s="11" t="s">
        <v>232</v>
      </c>
      <c r="AN7" s="20">
        <v>45054</v>
      </c>
      <c r="AO7" s="20">
        <f t="shared" ref="AO7:AO8" si="6">IF(ISBLANK(AN7),"",EDATE(AN7,24))</f>
        <v>45785</v>
      </c>
      <c r="AP7" s="11" t="s">
        <v>232</v>
      </c>
      <c r="AQ7" s="11" t="s">
        <v>232</v>
      </c>
      <c r="AR7" s="11" t="s">
        <v>232</v>
      </c>
      <c r="AS7" s="11" t="s">
        <v>232</v>
      </c>
      <c r="AT7" s="10">
        <v>42070</v>
      </c>
      <c r="AU7" s="11" t="s">
        <v>232</v>
      </c>
    </row>
    <row r="8" spans="1:47" ht="35.25" customHeight="1">
      <c r="A8" s="8" t="s">
        <v>613</v>
      </c>
      <c r="B8" s="33" t="s">
        <v>614</v>
      </c>
      <c r="C8" s="7" t="s">
        <v>615</v>
      </c>
      <c r="D8" s="7" t="s">
        <v>616</v>
      </c>
      <c r="E8" s="9" t="s">
        <v>257</v>
      </c>
      <c r="F8" s="10">
        <v>44497</v>
      </c>
      <c r="G8" s="10">
        <f t="shared" si="0"/>
        <v>45227</v>
      </c>
      <c r="H8" s="10">
        <v>44504</v>
      </c>
      <c r="I8" s="10">
        <f t="shared" si="1"/>
        <v>45234</v>
      </c>
      <c r="J8" s="10">
        <v>45116</v>
      </c>
      <c r="K8" s="10">
        <f t="shared" si="2"/>
        <v>45847</v>
      </c>
      <c r="L8" s="10">
        <v>44736</v>
      </c>
      <c r="M8" s="10">
        <f t="shared" si="3"/>
        <v>45467</v>
      </c>
      <c r="N8" s="10">
        <v>44575</v>
      </c>
      <c r="O8" s="10">
        <f t="shared" ref="O8" si="7">IF(ISBLANK(N8),"",EDATE(N8,24))</f>
        <v>45305</v>
      </c>
      <c r="P8" s="10">
        <v>44972</v>
      </c>
      <c r="Q8" s="10">
        <f>IF(ISBLANK(P8),"",EDATE(P8,24))</f>
        <v>45703</v>
      </c>
      <c r="R8" s="18" t="s">
        <v>232</v>
      </c>
      <c r="S8" s="18" t="s">
        <v>232</v>
      </c>
      <c r="T8" s="10">
        <v>44974</v>
      </c>
      <c r="U8" s="10">
        <f t="shared" si="4"/>
        <v>45705</v>
      </c>
      <c r="V8" s="11" t="s">
        <v>232</v>
      </c>
      <c r="W8" s="11" t="s">
        <v>232</v>
      </c>
      <c r="X8" s="11" t="s">
        <v>232</v>
      </c>
      <c r="Y8" s="11" t="s">
        <v>232</v>
      </c>
      <c r="Z8" s="11" t="s">
        <v>232</v>
      </c>
      <c r="AA8" s="11" t="s">
        <v>232</v>
      </c>
      <c r="AB8" s="12">
        <v>44973</v>
      </c>
      <c r="AC8" s="19">
        <v>45704</v>
      </c>
      <c r="AD8" s="11" t="s">
        <v>232</v>
      </c>
      <c r="AE8" s="11" t="s">
        <v>232</v>
      </c>
      <c r="AF8" s="10">
        <v>44804</v>
      </c>
      <c r="AG8" s="11" t="s">
        <v>232</v>
      </c>
      <c r="AH8" s="11" t="s">
        <v>232</v>
      </c>
      <c r="AI8" s="11" t="s">
        <v>232</v>
      </c>
      <c r="AJ8" s="11" t="s">
        <v>232</v>
      </c>
      <c r="AK8" s="11" t="s">
        <v>232</v>
      </c>
      <c r="AL8" s="11" t="s">
        <v>232</v>
      </c>
      <c r="AM8" s="11" t="s">
        <v>232</v>
      </c>
      <c r="AN8" s="20">
        <v>45054</v>
      </c>
      <c r="AO8" s="20">
        <f t="shared" si="6"/>
        <v>45785</v>
      </c>
      <c r="AP8" s="10">
        <v>42131</v>
      </c>
      <c r="AQ8" s="11" t="s">
        <v>232</v>
      </c>
      <c r="AR8" s="10">
        <v>43069</v>
      </c>
      <c r="AS8" s="11" t="s">
        <v>232</v>
      </c>
      <c r="AT8" s="10">
        <v>41899</v>
      </c>
      <c r="AU8" s="11" t="s">
        <v>232</v>
      </c>
    </row>
    <row r="9" spans="1:47" ht="35.25" customHeight="1">
      <c r="A9" s="8" t="s">
        <v>617</v>
      </c>
      <c r="B9" s="41" t="s">
        <v>618</v>
      </c>
      <c r="C9" s="7" t="s">
        <v>619</v>
      </c>
      <c r="D9" s="7" t="s">
        <v>620</v>
      </c>
      <c r="E9" s="9" t="s">
        <v>621</v>
      </c>
      <c r="F9" s="10">
        <v>44575</v>
      </c>
      <c r="G9" s="10">
        <f t="shared" si="0"/>
        <v>45305</v>
      </c>
      <c r="H9" s="10">
        <v>44578</v>
      </c>
      <c r="I9" s="10">
        <f t="shared" si="1"/>
        <v>45308</v>
      </c>
      <c r="J9" s="10">
        <v>44641</v>
      </c>
      <c r="K9" s="10">
        <f t="shared" si="2"/>
        <v>45372</v>
      </c>
      <c r="L9" s="10">
        <v>44586</v>
      </c>
      <c r="M9" s="10">
        <f t="shared" si="3"/>
        <v>45316</v>
      </c>
      <c r="N9" s="10">
        <v>44771</v>
      </c>
      <c r="O9" s="10">
        <f>IF(ISBLANK(N9),"",EDATE(N9,24))</f>
        <v>45502</v>
      </c>
      <c r="P9" s="10">
        <v>44972</v>
      </c>
      <c r="Q9" s="10">
        <f>IF(ISBLANK(P9),"",EDATE(P9,24))</f>
        <v>45703</v>
      </c>
      <c r="R9" s="18" t="s">
        <v>232</v>
      </c>
      <c r="S9" s="18" t="s">
        <v>232</v>
      </c>
      <c r="T9" s="10">
        <v>44743</v>
      </c>
      <c r="U9" s="10">
        <f t="shared" si="4"/>
        <v>45474</v>
      </c>
      <c r="V9" s="10">
        <v>44581</v>
      </c>
      <c r="W9" s="11" t="s">
        <v>232</v>
      </c>
      <c r="X9" s="10">
        <v>44603</v>
      </c>
      <c r="Y9" s="11" t="s">
        <v>232</v>
      </c>
      <c r="Z9" s="11" t="s">
        <v>232</v>
      </c>
      <c r="AA9" s="11" t="s">
        <v>232</v>
      </c>
      <c r="AB9" s="11" t="s">
        <v>232</v>
      </c>
      <c r="AC9" s="11" t="s">
        <v>232</v>
      </c>
      <c r="AD9" s="11" t="s">
        <v>232</v>
      </c>
      <c r="AE9" s="11" t="s">
        <v>232</v>
      </c>
      <c r="AF9" s="10">
        <v>44705</v>
      </c>
      <c r="AG9" s="11" t="s">
        <v>232</v>
      </c>
      <c r="AH9" s="10">
        <v>44735</v>
      </c>
      <c r="AI9" s="11" t="s">
        <v>232</v>
      </c>
      <c r="AJ9" s="11" t="s">
        <v>232</v>
      </c>
      <c r="AK9" s="11" t="s">
        <v>232</v>
      </c>
      <c r="AL9" s="11" t="s">
        <v>232</v>
      </c>
      <c r="AM9" s="11" t="s">
        <v>232</v>
      </c>
      <c r="AN9" s="11" t="s">
        <v>232</v>
      </c>
      <c r="AO9" s="11" t="s">
        <v>232</v>
      </c>
      <c r="AP9" s="10">
        <v>42425</v>
      </c>
      <c r="AQ9" s="11" t="s">
        <v>232</v>
      </c>
      <c r="AR9" s="10">
        <v>43742</v>
      </c>
      <c r="AS9" s="11" t="s">
        <v>232</v>
      </c>
      <c r="AT9" s="10">
        <v>42361</v>
      </c>
      <c r="AU9" s="11" t="s">
        <v>232</v>
      </c>
    </row>
    <row r="10" spans="1:47" ht="35.25" customHeight="1">
      <c r="A10" s="8" t="s">
        <v>622</v>
      </c>
      <c r="B10" s="41" t="s">
        <v>623</v>
      </c>
      <c r="C10" s="7" t="s">
        <v>624</v>
      </c>
      <c r="D10" s="7" t="s">
        <v>625</v>
      </c>
      <c r="E10" s="9" t="s">
        <v>626</v>
      </c>
      <c r="F10" s="10">
        <v>44610</v>
      </c>
      <c r="G10" s="10">
        <f t="shared" si="0"/>
        <v>45340</v>
      </c>
      <c r="H10" s="10">
        <v>44488</v>
      </c>
      <c r="I10" s="10">
        <f t="shared" si="1"/>
        <v>45218</v>
      </c>
      <c r="J10" s="10">
        <v>44512</v>
      </c>
      <c r="K10" s="10">
        <f t="shared" si="2"/>
        <v>45242</v>
      </c>
      <c r="L10" s="10">
        <v>44992</v>
      </c>
      <c r="M10" s="10">
        <f t="shared" si="3"/>
        <v>45723</v>
      </c>
      <c r="N10" s="10">
        <v>44771</v>
      </c>
      <c r="O10" s="10">
        <f>IF(ISBLANK(N10),"",EDATE(N10,24))</f>
        <v>45502</v>
      </c>
      <c r="P10" s="10">
        <v>44972</v>
      </c>
      <c r="Q10" s="10">
        <f>IF(ISBLANK(P10),"",EDATE(P10,24))</f>
        <v>45703</v>
      </c>
      <c r="R10" s="18" t="s">
        <v>232</v>
      </c>
      <c r="S10" s="18" t="s">
        <v>232</v>
      </c>
      <c r="T10" s="10">
        <v>44743</v>
      </c>
      <c r="U10" s="10">
        <f t="shared" si="4"/>
        <v>45474</v>
      </c>
      <c r="V10" s="10">
        <v>44572</v>
      </c>
      <c r="W10" s="11" t="s">
        <v>232</v>
      </c>
      <c r="X10" s="10">
        <v>43810</v>
      </c>
      <c r="Y10" s="11" t="s">
        <v>232</v>
      </c>
      <c r="Z10" s="11" t="s">
        <v>232</v>
      </c>
      <c r="AA10" s="11" t="s">
        <v>232</v>
      </c>
      <c r="AB10" s="11" t="s">
        <v>232</v>
      </c>
      <c r="AC10" s="11" t="s">
        <v>232</v>
      </c>
      <c r="AD10" s="11" t="s">
        <v>232</v>
      </c>
      <c r="AE10" s="11" t="s">
        <v>232</v>
      </c>
      <c r="AF10" s="10">
        <v>44705</v>
      </c>
      <c r="AG10" s="11" t="s">
        <v>232</v>
      </c>
      <c r="AH10" s="10">
        <v>44735</v>
      </c>
      <c r="AI10" s="11" t="s">
        <v>232</v>
      </c>
      <c r="AJ10" s="10">
        <v>44735</v>
      </c>
      <c r="AK10" s="11" t="s">
        <v>232</v>
      </c>
      <c r="AL10" s="10">
        <v>44735</v>
      </c>
      <c r="AM10" s="11" t="s">
        <v>232</v>
      </c>
      <c r="AN10" s="11" t="s">
        <v>232</v>
      </c>
      <c r="AO10" s="11" t="s">
        <v>232</v>
      </c>
      <c r="AP10" s="11" t="s">
        <v>232</v>
      </c>
      <c r="AQ10" s="11" t="s">
        <v>232</v>
      </c>
      <c r="AR10" s="11" t="s">
        <v>232</v>
      </c>
      <c r="AS10" s="11" t="s">
        <v>232</v>
      </c>
      <c r="AT10" s="11" t="s">
        <v>232</v>
      </c>
      <c r="AU10" s="11" t="s">
        <v>232</v>
      </c>
    </row>
    <row r="11" spans="1:47" ht="35.25" customHeight="1">
      <c r="A11" s="8" t="s">
        <v>627</v>
      </c>
      <c r="B11" s="33" t="s">
        <v>226</v>
      </c>
      <c r="C11" s="7" t="s">
        <v>227</v>
      </c>
      <c r="D11" s="7" t="s">
        <v>228</v>
      </c>
      <c r="E11" s="9" t="s">
        <v>267</v>
      </c>
      <c r="F11" s="10">
        <v>44935</v>
      </c>
      <c r="G11" s="10">
        <f t="shared" si="0"/>
        <v>45666</v>
      </c>
      <c r="H11" s="10">
        <v>44981</v>
      </c>
      <c r="I11" s="10">
        <f>IF(ISBLANK(H11),"",EDATE(H11,24))</f>
        <v>45712</v>
      </c>
      <c r="J11" s="10">
        <v>45116</v>
      </c>
      <c r="K11" s="10">
        <f t="shared" si="3"/>
        <v>45847</v>
      </c>
      <c r="L11" s="10">
        <v>44992</v>
      </c>
      <c r="M11" s="10">
        <f t="shared" si="3"/>
        <v>45723</v>
      </c>
      <c r="N11" s="11" t="s">
        <v>232</v>
      </c>
      <c r="O11" s="11" t="s">
        <v>232</v>
      </c>
      <c r="P11" s="18" t="s">
        <v>232</v>
      </c>
      <c r="Q11" s="18" t="s">
        <v>232</v>
      </c>
      <c r="R11" s="18" t="s">
        <v>232</v>
      </c>
      <c r="S11" s="18" t="s">
        <v>232</v>
      </c>
      <c r="T11" s="10">
        <v>44783</v>
      </c>
      <c r="U11" s="10">
        <f t="shared" si="3"/>
        <v>45514</v>
      </c>
      <c r="V11" s="10">
        <v>44613</v>
      </c>
      <c r="W11" s="10">
        <f>IF(ISBLANK(V11),"",EDATE(V11,24))</f>
        <v>45343</v>
      </c>
      <c r="X11" s="10">
        <v>44557</v>
      </c>
      <c r="Y11" s="10">
        <f>IF(ISBLANK(X11),"",EDATE(X11,24))</f>
        <v>45287</v>
      </c>
      <c r="Z11" s="10">
        <v>44741</v>
      </c>
      <c r="AA11" s="10">
        <f t="shared" ref="G11:AA21" si="8">IF(ISBLANK(Z11),"",EDATE(Z11,24))</f>
        <v>45472</v>
      </c>
      <c r="AB11" s="11" t="s">
        <v>232</v>
      </c>
      <c r="AC11" s="11" t="s">
        <v>232</v>
      </c>
      <c r="AD11" s="11" t="s">
        <v>232</v>
      </c>
      <c r="AE11" s="11" t="s">
        <v>232</v>
      </c>
      <c r="AF11" s="10">
        <v>44023</v>
      </c>
      <c r="AG11" s="11" t="s">
        <v>232</v>
      </c>
      <c r="AH11" s="10">
        <v>44553</v>
      </c>
      <c r="AI11" s="11" t="s">
        <v>232</v>
      </c>
      <c r="AJ11" s="10">
        <v>44741</v>
      </c>
      <c r="AK11" s="10">
        <f t="shared" ref="AK11" si="9">IF(ISBLANK(AJ11),"",EDATE(AJ11,24))</f>
        <v>45472</v>
      </c>
      <c r="AL11" s="11" t="s">
        <v>232</v>
      </c>
      <c r="AM11" s="11" t="s">
        <v>232</v>
      </c>
      <c r="AN11" s="10">
        <v>44361</v>
      </c>
      <c r="AO11" s="10">
        <f t="shared" ref="AO11:AO14" si="10">IF(ISBLANK(AN11),"",EDATE(AN11,24))</f>
        <v>45091</v>
      </c>
      <c r="AP11" s="11" t="s">
        <v>232</v>
      </c>
      <c r="AQ11" s="11" t="s">
        <v>232</v>
      </c>
      <c r="AR11" s="11" t="s">
        <v>232</v>
      </c>
      <c r="AS11" s="11" t="s">
        <v>232</v>
      </c>
      <c r="AT11" s="10">
        <v>42975</v>
      </c>
      <c r="AU11" s="11" t="s">
        <v>232</v>
      </c>
    </row>
    <row r="12" spans="1:47" ht="43.15">
      <c r="A12" s="8" t="s">
        <v>628</v>
      </c>
      <c r="B12" s="33" t="s">
        <v>233</v>
      </c>
      <c r="C12" s="7" t="s">
        <v>234</v>
      </c>
      <c r="D12" s="7" t="s">
        <v>235</v>
      </c>
      <c r="E12" s="9" t="s">
        <v>629</v>
      </c>
      <c r="F12" s="10">
        <v>44935</v>
      </c>
      <c r="G12" s="10">
        <f t="shared" si="0"/>
        <v>45666</v>
      </c>
      <c r="H12" s="10">
        <v>44532</v>
      </c>
      <c r="I12" s="10">
        <f t="shared" si="8"/>
        <v>45262</v>
      </c>
      <c r="J12" s="10">
        <v>45116</v>
      </c>
      <c r="K12" s="10">
        <f t="shared" si="8"/>
        <v>45847</v>
      </c>
      <c r="L12" s="10">
        <v>44992</v>
      </c>
      <c r="M12" s="10">
        <f t="shared" si="8"/>
        <v>45723</v>
      </c>
      <c r="N12" s="11" t="s">
        <v>232</v>
      </c>
      <c r="O12" s="11" t="s">
        <v>232</v>
      </c>
      <c r="P12" s="18" t="s">
        <v>232</v>
      </c>
      <c r="Q12" s="18" t="s">
        <v>232</v>
      </c>
      <c r="R12" s="18" t="s">
        <v>232</v>
      </c>
      <c r="S12" s="18" t="s">
        <v>232</v>
      </c>
      <c r="T12" s="10">
        <v>44903</v>
      </c>
      <c r="U12" s="10">
        <f t="shared" si="8"/>
        <v>45634</v>
      </c>
      <c r="V12" s="10">
        <v>44537</v>
      </c>
      <c r="W12" s="10">
        <f>IF(ISBLANK(V12),"",EDATE(V12,24))</f>
        <v>45267</v>
      </c>
      <c r="X12" s="10">
        <v>44539</v>
      </c>
      <c r="Y12" s="10">
        <f>IF(ISBLANK(X12),"",EDATE(X12,24))</f>
        <v>45269</v>
      </c>
      <c r="Z12" s="10">
        <v>44540</v>
      </c>
      <c r="AA12" s="10">
        <f t="shared" si="8"/>
        <v>45270</v>
      </c>
      <c r="AB12" s="10">
        <v>44908</v>
      </c>
      <c r="AC12" s="10">
        <f>IF(ISBLANK(AB12),"",EDATE(AB12,24))</f>
        <v>45639</v>
      </c>
      <c r="AD12" s="10">
        <v>44908</v>
      </c>
      <c r="AE12" s="10">
        <f t="shared" ref="AE12" si="11">IF(ISBLANK(AD12),"",EDATE(AD12,24))</f>
        <v>45639</v>
      </c>
      <c r="AF12" s="11" t="s">
        <v>232</v>
      </c>
      <c r="AG12" s="11" t="s">
        <v>232</v>
      </c>
      <c r="AH12" s="11" t="s">
        <v>232</v>
      </c>
      <c r="AI12" s="11" t="s">
        <v>232</v>
      </c>
      <c r="AJ12" s="11" t="s">
        <v>232</v>
      </c>
      <c r="AK12" s="11" t="s">
        <v>232</v>
      </c>
      <c r="AL12" s="11" t="s">
        <v>232</v>
      </c>
      <c r="AM12" s="11" t="s">
        <v>232</v>
      </c>
      <c r="AN12" s="10">
        <v>44538</v>
      </c>
      <c r="AO12" s="10">
        <f t="shared" si="10"/>
        <v>45268</v>
      </c>
      <c r="AP12" s="11" t="s">
        <v>232</v>
      </c>
      <c r="AQ12" s="11" t="s">
        <v>232</v>
      </c>
      <c r="AR12" s="11" t="s">
        <v>232</v>
      </c>
      <c r="AS12" s="11" t="s">
        <v>232</v>
      </c>
      <c r="AT12" s="11" t="s">
        <v>232</v>
      </c>
      <c r="AU12" s="11" t="s">
        <v>232</v>
      </c>
    </row>
    <row r="13" spans="1:47" ht="35.25" customHeight="1">
      <c r="A13" s="8" t="s">
        <v>630</v>
      </c>
      <c r="B13" s="41" t="s">
        <v>631</v>
      </c>
      <c r="C13" s="7" t="s">
        <v>632</v>
      </c>
      <c r="D13" s="7" t="s">
        <v>633</v>
      </c>
      <c r="E13" s="9" t="s">
        <v>634</v>
      </c>
      <c r="F13" s="10">
        <v>44575</v>
      </c>
      <c r="G13" s="10">
        <f t="shared" si="0"/>
        <v>45305</v>
      </c>
      <c r="H13" s="10">
        <v>44578</v>
      </c>
      <c r="I13" s="10">
        <f>IF(ISBLANK(H13),"",EDATE(H13,24))</f>
        <v>45308</v>
      </c>
      <c r="J13" s="10">
        <v>44641</v>
      </c>
      <c r="K13" s="10">
        <f t="shared" si="8"/>
        <v>45372</v>
      </c>
      <c r="L13" s="10">
        <v>44586</v>
      </c>
      <c r="M13" s="10">
        <f t="shared" si="8"/>
        <v>45316</v>
      </c>
      <c r="N13" s="11" t="s">
        <v>232</v>
      </c>
      <c r="O13" s="11" t="s">
        <v>232</v>
      </c>
      <c r="P13" s="18" t="s">
        <v>232</v>
      </c>
      <c r="Q13" s="18" t="s">
        <v>232</v>
      </c>
      <c r="R13" s="18" t="s">
        <v>232</v>
      </c>
      <c r="S13" s="18" t="s">
        <v>232</v>
      </c>
      <c r="T13" s="10">
        <v>44743</v>
      </c>
      <c r="U13" s="10">
        <f t="shared" si="8"/>
        <v>45474</v>
      </c>
      <c r="V13" s="10">
        <v>44581</v>
      </c>
      <c r="W13" s="10">
        <f>IF(ISBLANK(V13),"",EDATE(V13,24))</f>
        <v>45311</v>
      </c>
      <c r="X13" s="10">
        <v>44603</v>
      </c>
      <c r="Y13" s="10">
        <f>IF(ISBLANK(X13),"",EDATE(X13,24))</f>
        <v>45333</v>
      </c>
      <c r="Z13" s="10">
        <v>44791</v>
      </c>
      <c r="AA13" s="10">
        <f t="shared" si="8"/>
        <v>45522</v>
      </c>
      <c r="AB13" s="10">
        <v>45021</v>
      </c>
      <c r="AC13" s="10">
        <f>IF(ISBLANK(AB13),"",EDATE(AB13,24))</f>
        <v>45752</v>
      </c>
      <c r="AD13" s="11" t="s">
        <v>232</v>
      </c>
      <c r="AE13" s="11" t="s">
        <v>232</v>
      </c>
      <c r="AF13" s="10">
        <v>44705</v>
      </c>
      <c r="AG13" s="11" t="s">
        <v>232</v>
      </c>
      <c r="AH13" s="10">
        <v>44735</v>
      </c>
      <c r="AI13" s="11" t="s">
        <v>232</v>
      </c>
      <c r="AJ13" s="10">
        <v>44735</v>
      </c>
      <c r="AK13" s="11" t="s">
        <v>232</v>
      </c>
      <c r="AL13" s="11" t="s">
        <v>232</v>
      </c>
      <c r="AM13" s="11" t="s">
        <v>232</v>
      </c>
      <c r="AN13" s="10">
        <v>45054</v>
      </c>
      <c r="AO13" s="10">
        <f t="shared" si="10"/>
        <v>45785</v>
      </c>
      <c r="AP13" s="10">
        <v>42720</v>
      </c>
      <c r="AQ13" s="11" t="s">
        <v>232</v>
      </c>
      <c r="AR13" s="11" t="s">
        <v>232</v>
      </c>
      <c r="AS13" s="11" t="s">
        <v>232</v>
      </c>
      <c r="AT13" s="10">
        <v>42361</v>
      </c>
      <c r="AU13" s="11" t="s">
        <v>232</v>
      </c>
    </row>
    <row r="14" spans="1:47" ht="35.25" customHeight="1">
      <c r="A14" s="8" t="s">
        <v>635</v>
      </c>
      <c r="B14" s="33" t="s">
        <v>636</v>
      </c>
      <c r="C14" s="7" t="s">
        <v>637</v>
      </c>
      <c r="D14" s="7" t="s">
        <v>638</v>
      </c>
      <c r="E14" s="9" t="s">
        <v>253</v>
      </c>
      <c r="F14" s="10">
        <v>44935</v>
      </c>
      <c r="G14" s="10">
        <f t="shared" si="0"/>
        <v>45666</v>
      </c>
      <c r="H14" s="10">
        <v>44981</v>
      </c>
      <c r="I14" s="10">
        <f t="shared" si="8"/>
        <v>45712</v>
      </c>
      <c r="J14" s="10">
        <v>45116</v>
      </c>
      <c r="K14" s="10">
        <f>IF(ISBLANK(J14),"",EDATE(J14,24))</f>
        <v>45847</v>
      </c>
      <c r="L14" s="10">
        <v>44992</v>
      </c>
      <c r="M14" s="10">
        <f>IF(ISBLANK(L14),"",EDATE(L14,24))</f>
        <v>45723</v>
      </c>
      <c r="N14" s="10">
        <v>44907</v>
      </c>
      <c r="O14" s="10">
        <f>IF(ISBLANK(N14),"",EDATE(N14,24))</f>
        <v>45638</v>
      </c>
      <c r="P14" s="10">
        <v>44972</v>
      </c>
      <c r="Q14" s="10">
        <f>IF(ISBLANK(P14),"",EDATE(P14,24))</f>
        <v>45703</v>
      </c>
      <c r="R14" s="18" t="s">
        <v>232</v>
      </c>
      <c r="S14" s="18" t="s">
        <v>232</v>
      </c>
      <c r="T14" s="10">
        <v>44903</v>
      </c>
      <c r="U14" s="10">
        <f t="shared" si="8"/>
        <v>45634</v>
      </c>
      <c r="V14" s="10">
        <v>44673</v>
      </c>
      <c r="W14" s="10">
        <f>IF(ISBLANK(V14),"",EDATE(V14,24))</f>
        <v>45404</v>
      </c>
      <c r="X14" s="10">
        <v>44681</v>
      </c>
      <c r="Y14" s="10">
        <f>IF(ISBLANK(X14),"",EDATE(X14,24))</f>
        <v>45412</v>
      </c>
      <c r="Z14" s="11" t="s">
        <v>232</v>
      </c>
      <c r="AA14" s="11" t="s">
        <v>232</v>
      </c>
      <c r="AB14" s="11" t="s">
        <v>232</v>
      </c>
      <c r="AC14" s="11" t="s">
        <v>232</v>
      </c>
      <c r="AD14" s="11" t="s">
        <v>232</v>
      </c>
      <c r="AE14" s="11" t="s">
        <v>232</v>
      </c>
      <c r="AF14" s="10">
        <v>44023</v>
      </c>
      <c r="AG14" s="11" t="s">
        <v>232</v>
      </c>
      <c r="AH14" s="10">
        <v>44354</v>
      </c>
      <c r="AI14" s="11" t="s">
        <v>232</v>
      </c>
      <c r="AJ14" s="10">
        <v>44354</v>
      </c>
      <c r="AK14" s="11" t="s">
        <v>232</v>
      </c>
      <c r="AL14" s="10">
        <v>44354</v>
      </c>
      <c r="AM14" s="11" t="s">
        <v>232</v>
      </c>
      <c r="AN14" s="10">
        <v>45054</v>
      </c>
      <c r="AO14" s="10">
        <f t="shared" si="10"/>
        <v>45785</v>
      </c>
      <c r="AP14" s="11" t="s">
        <v>232</v>
      </c>
      <c r="AQ14" s="11" t="s">
        <v>232</v>
      </c>
      <c r="AR14" s="11" t="s">
        <v>232</v>
      </c>
      <c r="AS14" s="11" t="s">
        <v>232</v>
      </c>
      <c r="AT14" s="11" t="s">
        <v>232</v>
      </c>
      <c r="AU14" s="11" t="s">
        <v>232</v>
      </c>
    </row>
    <row r="15" spans="1:47" ht="35.25" customHeight="1">
      <c r="A15" s="8" t="s">
        <v>639</v>
      </c>
      <c r="B15" s="33" t="s">
        <v>640</v>
      </c>
      <c r="C15" s="7" t="s">
        <v>641</v>
      </c>
      <c r="D15" s="7" t="s">
        <v>642</v>
      </c>
      <c r="E15" s="9" t="s">
        <v>643</v>
      </c>
      <c r="F15" s="12">
        <v>44935</v>
      </c>
      <c r="G15" s="10">
        <f t="shared" si="0"/>
        <v>45666</v>
      </c>
      <c r="H15" s="12">
        <v>44588</v>
      </c>
      <c r="I15" s="10">
        <f t="shared" si="8"/>
        <v>45318</v>
      </c>
      <c r="J15" s="12">
        <v>45116</v>
      </c>
      <c r="K15" s="10">
        <f t="shared" ref="K15" si="12">IF(ISBLANK(J15),"",EDATE(J15,24))</f>
        <v>45847</v>
      </c>
      <c r="L15" s="12">
        <v>44518</v>
      </c>
      <c r="M15" s="10">
        <f t="shared" ref="M15" si="13">IF(ISBLANK(L15),"",EDATE(L15,24))</f>
        <v>45248</v>
      </c>
      <c r="N15" s="10">
        <v>44781</v>
      </c>
      <c r="O15" s="10">
        <f>IF(ISBLANK(N15),"",EDATE(N15,24))</f>
        <v>45512</v>
      </c>
      <c r="P15" s="10">
        <v>44972</v>
      </c>
      <c r="Q15" s="10">
        <f>IF(ISBLANK(P15),"",EDATE(P15,24))</f>
        <v>45703</v>
      </c>
      <c r="R15" s="18" t="s">
        <v>232</v>
      </c>
      <c r="S15" s="18" t="s">
        <v>232</v>
      </c>
      <c r="T15" s="12">
        <v>44783</v>
      </c>
      <c r="U15" s="10">
        <f t="shared" si="8"/>
        <v>45514</v>
      </c>
      <c r="V15" s="10">
        <v>44587</v>
      </c>
      <c r="W15" s="10">
        <f>IF(ISBLANK(V15),"",EDATE(V15,24))</f>
        <v>45317</v>
      </c>
      <c r="X15" s="10">
        <v>44565</v>
      </c>
      <c r="Y15" s="10">
        <f>IF(ISBLANK(X15),"",EDATE(X15,24))</f>
        <v>45295</v>
      </c>
      <c r="Z15" s="11" t="s">
        <v>232</v>
      </c>
      <c r="AA15" s="11" t="s">
        <v>232</v>
      </c>
      <c r="AB15" s="11" t="s">
        <v>232</v>
      </c>
      <c r="AC15" s="11" t="s">
        <v>232</v>
      </c>
      <c r="AD15" s="11" t="s">
        <v>232</v>
      </c>
      <c r="AE15" s="11" t="s">
        <v>232</v>
      </c>
      <c r="AF15" s="11" t="s">
        <v>232</v>
      </c>
      <c r="AG15" s="11" t="s">
        <v>232</v>
      </c>
      <c r="AH15" s="11" t="s">
        <v>232</v>
      </c>
      <c r="AI15" s="11" t="s">
        <v>232</v>
      </c>
      <c r="AJ15" s="11" t="s">
        <v>232</v>
      </c>
      <c r="AK15" s="11" t="s">
        <v>232</v>
      </c>
      <c r="AL15" s="11" t="s">
        <v>232</v>
      </c>
      <c r="AM15" s="11" t="s">
        <v>232</v>
      </c>
      <c r="AN15" s="11" t="s">
        <v>232</v>
      </c>
      <c r="AO15" s="11" t="s">
        <v>232</v>
      </c>
      <c r="AP15" s="11" t="s">
        <v>232</v>
      </c>
      <c r="AQ15" s="11" t="s">
        <v>232</v>
      </c>
      <c r="AR15" s="11" t="s">
        <v>232</v>
      </c>
      <c r="AS15" s="11" t="s">
        <v>232</v>
      </c>
      <c r="AT15" s="11" t="s">
        <v>232</v>
      </c>
      <c r="AU15" s="11" t="s">
        <v>232</v>
      </c>
    </row>
    <row r="16" spans="1:47" ht="35.25" customHeight="1">
      <c r="A16" s="8" t="s">
        <v>644</v>
      </c>
      <c r="B16" s="33" t="s">
        <v>645</v>
      </c>
      <c r="C16" s="7" t="s">
        <v>646</v>
      </c>
      <c r="D16" s="7" t="s">
        <v>647</v>
      </c>
      <c r="E16" s="9" t="s">
        <v>648</v>
      </c>
      <c r="F16" s="12">
        <v>44749</v>
      </c>
      <c r="G16" s="10">
        <f t="shared" si="0"/>
        <v>45480</v>
      </c>
      <c r="H16" s="12">
        <v>44714</v>
      </c>
      <c r="I16" s="10">
        <f t="shared" si="8"/>
        <v>45445</v>
      </c>
      <c r="J16" s="12">
        <v>45116</v>
      </c>
      <c r="K16" s="10">
        <f t="shared" si="8"/>
        <v>45847</v>
      </c>
      <c r="L16" s="12">
        <v>44778</v>
      </c>
      <c r="M16" s="10">
        <f t="shared" si="8"/>
        <v>45509</v>
      </c>
      <c r="N16" s="10">
        <v>45093</v>
      </c>
      <c r="O16" s="10">
        <f t="shared" si="8"/>
        <v>45824</v>
      </c>
      <c r="P16" s="18" t="s">
        <v>232</v>
      </c>
      <c r="Q16" s="18" t="s">
        <v>232</v>
      </c>
      <c r="R16" s="18" t="s">
        <v>232</v>
      </c>
      <c r="S16" s="18" t="s">
        <v>232</v>
      </c>
      <c r="T16" s="12">
        <v>45061</v>
      </c>
      <c r="U16" s="10">
        <f t="shared" si="8"/>
        <v>45792</v>
      </c>
      <c r="V16" s="10">
        <v>44052</v>
      </c>
      <c r="W16" s="11" t="s">
        <v>232</v>
      </c>
      <c r="X16" s="10">
        <v>44183</v>
      </c>
      <c r="Y16" s="11" t="s">
        <v>232</v>
      </c>
      <c r="Z16" s="11" t="s">
        <v>232</v>
      </c>
      <c r="AA16" s="11" t="s">
        <v>232</v>
      </c>
      <c r="AB16" s="11" t="s">
        <v>232</v>
      </c>
      <c r="AC16" s="11" t="s">
        <v>232</v>
      </c>
      <c r="AD16" s="11" t="s">
        <v>232</v>
      </c>
      <c r="AE16" s="11" t="s">
        <v>232</v>
      </c>
      <c r="AF16" s="12">
        <v>44253</v>
      </c>
      <c r="AG16" s="11" t="s">
        <v>232</v>
      </c>
      <c r="AH16" s="11" t="s">
        <v>232</v>
      </c>
      <c r="AI16" s="11" t="s">
        <v>232</v>
      </c>
      <c r="AJ16" s="11" t="s">
        <v>232</v>
      </c>
      <c r="AK16" s="11" t="s">
        <v>232</v>
      </c>
      <c r="AL16" s="11" t="s">
        <v>232</v>
      </c>
      <c r="AM16" s="11" t="s">
        <v>232</v>
      </c>
      <c r="AN16" s="11" t="s">
        <v>232</v>
      </c>
      <c r="AO16" s="11" t="s">
        <v>232</v>
      </c>
      <c r="AP16" s="10">
        <v>44701</v>
      </c>
      <c r="AQ16" s="11" t="s">
        <v>232</v>
      </c>
      <c r="AR16" s="11" t="s">
        <v>232</v>
      </c>
      <c r="AS16" s="11" t="s">
        <v>232</v>
      </c>
      <c r="AT16" s="10">
        <v>44060</v>
      </c>
      <c r="AU16" s="11" t="s">
        <v>232</v>
      </c>
    </row>
    <row r="17" spans="1:47" ht="35.25" customHeight="1">
      <c r="A17" s="8" t="s">
        <v>649</v>
      </c>
      <c r="B17" s="33" t="s">
        <v>650</v>
      </c>
      <c r="C17" s="7" t="s">
        <v>651</v>
      </c>
      <c r="D17" s="7" t="s">
        <v>652</v>
      </c>
      <c r="E17" s="9" t="s">
        <v>253</v>
      </c>
      <c r="F17" s="12">
        <v>44357</v>
      </c>
      <c r="G17" s="10">
        <f t="shared" si="0"/>
        <v>45087</v>
      </c>
      <c r="H17" s="12">
        <v>44967</v>
      </c>
      <c r="I17" s="10">
        <f t="shared" si="8"/>
        <v>45698</v>
      </c>
      <c r="J17" s="12">
        <v>45116</v>
      </c>
      <c r="K17" s="10">
        <f t="shared" si="8"/>
        <v>45847</v>
      </c>
      <c r="L17" s="12">
        <v>45016</v>
      </c>
      <c r="M17" s="10">
        <f t="shared" si="8"/>
        <v>45747</v>
      </c>
      <c r="N17" s="10">
        <v>45093</v>
      </c>
      <c r="O17" s="10">
        <f t="shared" si="8"/>
        <v>45824</v>
      </c>
      <c r="P17" s="18" t="s">
        <v>232</v>
      </c>
      <c r="Q17" s="18" t="s">
        <v>232</v>
      </c>
      <c r="R17" s="18" t="s">
        <v>232</v>
      </c>
      <c r="S17" s="18" t="s">
        <v>232</v>
      </c>
      <c r="T17" s="12">
        <v>45061</v>
      </c>
      <c r="U17" s="10">
        <f t="shared" si="8"/>
        <v>45792</v>
      </c>
      <c r="V17" s="10">
        <v>44587</v>
      </c>
      <c r="W17" s="10">
        <f>IF(ISBLANK(V17),"",EDATE(V17,24))</f>
        <v>45317</v>
      </c>
      <c r="X17" s="10">
        <v>44557</v>
      </c>
      <c r="Y17" s="10">
        <f>IF(ISBLANK(X17),"",EDATE(X17,24))</f>
        <v>45287</v>
      </c>
      <c r="Z17" s="11" t="s">
        <v>232</v>
      </c>
      <c r="AA17" s="11" t="s">
        <v>232</v>
      </c>
      <c r="AB17" s="11" t="s">
        <v>232</v>
      </c>
      <c r="AC17" s="11" t="s">
        <v>232</v>
      </c>
      <c r="AD17" s="11" t="s">
        <v>232</v>
      </c>
      <c r="AE17" s="11" t="s">
        <v>232</v>
      </c>
      <c r="AF17" s="12">
        <v>44101</v>
      </c>
      <c r="AG17" s="11" t="s">
        <v>232</v>
      </c>
      <c r="AH17" s="10">
        <v>44354</v>
      </c>
      <c r="AI17" s="11" t="s">
        <v>232</v>
      </c>
      <c r="AJ17" s="10">
        <v>44354</v>
      </c>
      <c r="AK17" s="11" t="s">
        <v>232</v>
      </c>
      <c r="AL17" s="10">
        <v>44354</v>
      </c>
      <c r="AM17" s="11" t="s">
        <v>232</v>
      </c>
      <c r="AN17" s="10">
        <v>44365</v>
      </c>
      <c r="AO17" s="10">
        <f t="shared" ref="AO17:AO21" si="14">IF(ISBLANK(AN17),"",EDATE(AN17,24))</f>
        <v>45095</v>
      </c>
      <c r="AP17" s="11" t="s">
        <v>232</v>
      </c>
      <c r="AQ17" s="11" t="s">
        <v>232</v>
      </c>
      <c r="AR17" s="11" t="s">
        <v>232</v>
      </c>
      <c r="AS17" s="11" t="s">
        <v>232</v>
      </c>
      <c r="AT17" s="11" t="s">
        <v>232</v>
      </c>
      <c r="AU17" s="11" t="s">
        <v>232</v>
      </c>
    </row>
    <row r="18" spans="1:47" ht="35.25" customHeight="1">
      <c r="A18" s="8" t="s">
        <v>653</v>
      </c>
      <c r="B18" s="33" t="s">
        <v>236</v>
      </c>
      <c r="C18" s="7" t="s">
        <v>237</v>
      </c>
      <c r="D18" s="7" t="s">
        <v>238</v>
      </c>
      <c r="E18" s="9" t="s">
        <v>239</v>
      </c>
      <c r="F18" s="12">
        <v>44594</v>
      </c>
      <c r="G18" s="10">
        <f t="shared" si="0"/>
        <v>45324</v>
      </c>
      <c r="H18" s="12">
        <v>44594</v>
      </c>
      <c r="I18" s="10">
        <f t="shared" si="8"/>
        <v>45324</v>
      </c>
      <c r="J18" s="12">
        <v>45116</v>
      </c>
      <c r="K18" s="10">
        <f t="shared" si="8"/>
        <v>45847</v>
      </c>
      <c r="L18" s="12">
        <v>45079</v>
      </c>
      <c r="M18" s="10">
        <f t="shared" si="8"/>
        <v>45810</v>
      </c>
      <c r="N18" s="11" t="s">
        <v>232</v>
      </c>
      <c r="O18" s="11" t="s">
        <v>232</v>
      </c>
      <c r="P18" s="18" t="s">
        <v>232</v>
      </c>
      <c r="Q18" s="18" t="s">
        <v>232</v>
      </c>
      <c r="R18" s="18" t="s">
        <v>232</v>
      </c>
      <c r="S18" s="18" t="s">
        <v>232</v>
      </c>
      <c r="T18" s="12">
        <v>45083</v>
      </c>
      <c r="U18" s="10">
        <f t="shared" si="8"/>
        <v>45814</v>
      </c>
      <c r="V18" s="10">
        <v>44614</v>
      </c>
      <c r="W18" s="10">
        <f>IF(ISBLANK(V18),"",EDATE(V18,24))</f>
        <v>45344</v>
      </c>
      <c r="X18" s="10">
        <v>44613</v>
      </c>
      <c r="Y18" s="10">
        <f>IF(ISBLANK(X18),"",EDATE(X18,24))</f>
        <v>45343</v>
      </c>
      <c r="Z18" s="11" t="s">
        <v>232</v>
      </c>
      <c r="AA18" s="11" t="s">
        <v>232</v>
      </c>
      <c r="AB18" s="11" t="s">
        <v>232</v>
      </c>
      <c r="AC18" s="11" t="s">
        <v>232</v>
      </c>
      <c r="AD18" s="10">
        <v>44620</v>
      </c>
      <c r="AE18" s="10">
        <f>IF(ISBLANK(AD18),"",EDATE(AD18,24))</f>
        <v>45350</v>
      </c>
      <c r="AF18" s="11" t="s">
        <v>232</v>
      </c>
      <c r="AG18" s="11" t="s">
        <v>232</v>
      </c>
      <c r="AH18" s="11" t="s">
        <v>232</v>
      </c>
      <c r="AI18" s="11" t="s">
        <v>232</v>
      </c>
      <c r="AJ18" s="11" t="s">
        <v>232</v>
      </c>
      <c r="AK18" s="11" t="s">
        <v>232</v>
      </c>
      <c r="AL18" s="11" t="s">
        <v>232</v>
      </c>
      <c r="AM18" s="11" t="s">
        <v>232</v>
      </c>
      <c r="AN18" s="10">
        <v>44616</v>
      </c>
      <c r="AO18" s="10">
        <f t="shared" si="14"/>
        <v>45346</v>
      </c>
      <c r="AP18" s="11" t="s">
        <v>232</v>
      </c>
      <c r="AQ18" s="11" t="s">
        <v>232</v>
      </c>
      <c r="AR18" s="11" t="s">
        <v>232</v>
      </c>
      <c r="AS18" s="11" t="s">
        <v>232</v>
      </c>
      <c r="AT18" s="11" t="s">
        <v>232</v>
      </c>
      <c r="AU18" s="11" t="s">
        <v>232</v>
      </c>
    </row>
    <row r="19" spans="1:47" ht="35.25" customHeight="1">
      <c r="A19" s="8" t="s">
        <v>654</v>
      </c>
      <c r="B19" s="33" t="s">
        <v>655</v>
      </c>
      <c r="C19" s="7" t="s">
        <v>656</v>
      </c>
      <c r="D19" s="7" t="s">
        <v>657</v>
      </c>
      <c r="E19" s="9" t="s">
        <v>239</v>
      </c>
      <c r="F19" s="12">
        <v>45010</v>
      </c>
      <c r="G19" s="10">
        <f t="shared" si="0"/>
        <v>45741</v>
      </c>
      <c r="H19" s="12">
        <v>44645</v>
      </c>
      <c r="I19" s="10">
        <f t="shared" si="8"/>
        <v>45376</v>
      </c>
      <c r="J19" s="12">
        <v>45116</v>
      </c>
      <c r="K19" s="10">
        <f t="shared" si="8"/>
        <v>45847</v>
      </c>
      <c r="L19" s="12">
        <v>45079</v>
      </c>
      <c r="M19" s="10">
        <f t="shared" si="8"/>
        <v>45810</v>
      </c>
      <c r="N19" s="11" t="s">
        <v>232</v>
      </c>
      <c r="O19" s="11" t="s">
        <v>232</v>
      </c>
      <c r="P19" s="18" t="s">
        <v>232</v>
      </c>
      <c r="Q19" s="18" t="s">
        <v>232</v>
      </c>
      <c r="R19" s="18" t="s">
        <v>232</v>
      </c>
      <c r="S19" s="18" t="s">
        <v>232</v>
      </c>
      <c r="T19" s="12">
        <v>45083</v>
      </c>
      <c r="U19" s="10">
        <f t="shared" si="8"/>
        <v>45814</v>
      </c>
      <c r="V19" s="10">
        <v>44844</v>
      </c>
      <c r="W19" s="10">
        <f>IF(ISBLANK(V19),"",EDATE(V19,24))</f>
        <v>45575</v>
      </c>
      <c r="X19" s="10">
        <v>44533</v>
      </c>
      <c r="Y19" s="10">
        <f>IF(ISBLANK(X19),"",EDATE(X19,24))</f>
        <v>45263</v>
      </c>
      <c r="Z19" s="11" t="s">
        <v>232</v>
      </c>
      <c r="AA19" s="11" t="s">
        <v>232</v>
      </c>
      <c r="AB19" s="11" t="s">
        <v>232</v>
      </c>
      <c r="AC19" s="11" t="s">
        <v>232</v>
      </c>
      <c r="AD19" s="10">
        <v>44598</v>
      </c>
      <c r="AE19" s="10">
        <f>IF(ISBLANK(AD19),"",EDATE(AD19,24))</f>
        <v>45328</v>
      </c>
      <c r="AF19" s="11" t="s">
        <v>232</v>
      </c>
      <c r="AG19" s="11" t="s">
        <v>232</v>
      </c>
      <c r="AH19" s="11" t="s">
        <v>232</v>
      </c>
      <c r="AI19" s="11" t="s">
        <v>232</v>
      </c>
      <c r="AJ19" s="11" t="s">
        <v>232</v>
      </c>
      <c r="AK19" s="11" t="s">
        <v>232</v>
      </c>
      <c r="AL19" s="11" t="s">
        <v>232</v>
      </c>
      <c r="AM19" s="11" t="s">
        <v>232</v>
      </c>
      <c r="AN19" s="10">
        <v>44761</v>
      </c>
      <c r="AO19" s="10">
        <f t="shared" si="14"/>
        <v>45492</v>
      </c>
      <c r="AP19" s="11" t="s">
        <v>232</v>
      </c>
      <c r="AQ19" s="11" t="s">
        <v>232</v>
      </c>
      <c r="AR19" s="11" t="s">
        <v>232</v>
      </c>
      <c r="AS19" s="11" t="s">
        <v>232</v>
      </c>
      <c r="AT19" s="11" t="s">
        <v>232</v>
      </c>
      <c r="AU19" s="11" t="s">
        <v>232</v>
      </c>
    </row>
    <row r="20" spans="1:47" ht="35.25" customHeight="1">
      <c r="A20" s="8" t="s">
        <v>658</v>
      </c>
      <c r="B20" s="34" t="s">
        <v>241</v>
      </c>
      <c r="C20" s="35" t="s">
        <v>242</v>
      </c>
      <c r="D20" s="35" t="s">
        <v>243</v>
      </c>
      <c r="E20" s="36" t="s">
        <v>253</v>
      </c>
      <c r="F20" s="37">
        <v>41107</v>
      </c>
      <c r="G20" s="38">
        <f>IF(ISBLANK(F20),"",EDATE(F20,24))</f>
        <v>41837</v>
      </c>
      <c r="H20" s="38"/>
      <c r="I20" s="38"/>
      <c r="J20" s="37">
        <v>45116</v>
      </c>
      <c r="K20" s="38">
        <f t="shared" si="8"/>
        <v>45847</v>
      </c>
      <c r="L20" s="37">
        <v>45079</v>
      </c>
      <c r="M20" s="38">
        <f t="shared" si="8"/>
        <v>45810</v>
      </c>
      <c r="N20" s="39" t="s">
        <v>232</v>
      </c>
      <c r="O20" s="39" t="s">
        <v>232</v>
      </c>
      <c r="P20" s="40" t="s">
        <v>232</v>
      </c>
      <c r="Q20" s="40" t="s">
        <v>232</v>
      </c>
      <c r="R20" s="40" t="s">
        <v>232</v>
      </c>
      <c r="S20" s="40" t="s">
        <v>232</v>
      </c>
      <c r="T20" s="37">
        <v>45083</v>
      </c>
      <c r="U20" s="38">
        <f t="shared" si="8"/>
        <v>45814</v>
      </c>
      <c r="V20" s="38">
        <v>40161</v>
      </c>
      <c r="W20" s="38">
        <f>IF(ISBLANK(V20),"",EDATE(V20,24))</f>
        <v>40891</v>
      </c>
      <c r="X20" s="38">
        <v>41079</v>
      </c>
      <c r="Y20" s="38">
        <f>IF(ISBLANK(X20),"",EDATE(X20,24))</f>
        <v>41809</v>
      </c>
      <c r="Z20" s="39" t="s">
        <v>232</v>
      </c>
      <c r="AA20" s="39" t="s">
        <v>232</v>
      </c>
      <c r="AB20" s="39" t="s">
        <v>232</v>
      </c>
      <c r="AC20" s="39" t="s">
        <v>232</v>
      </c>
      <c r="AD20" s="39" t="s">
        <v>232</v>
      </c>
      <c r="AE20" s="39" t="s">
        <v>232</v>
      </c>
      <c r="AF20" s="39" t="s">
        <v>232</v>
      </c>
      <c r="AG20" s="39" t="s">
        <v>232</v>
      </c>
      <c r="AH20" s="39" t="s">
        <v>232</v>
      </c>
      <c r="AI20" s="39" t="s">
        <v>232</v>
      </c>
      <c r="AJ20" s="39" t="s">
        <v>232</v>
      </c>
      <c r="AK20" s="39" t="s">
        <v>232</v>
      </c>
      <c r="AL20" s="39" t="s">
        <v>232</v>
      </c>
      <c r="AM20" s="39" t="s">
        <v>232</v>
      </c>
      <c r="AN20" s="39"/>
      <c r="AO20" s="39"/>
      <c r="AP20" s="39" t="s">
        <v>232</v>
      </c>
      <c r="AQ20" s="39" t="s">
        <v>232</v>
      </c>
      <c r="AR20" s="39" t="s">
        <v>232</v>
      </c>
      <c r="AS20" s="39" t="s">
        <v>232</v>
      </c>
      <c r="AT20" s="39" t="s">
        <v>232</v>
      </c>
      <c r="AU20" s="39" t="s">
        <v>232</v>
      </c>
    </row>
    <row r="21" spans="1:47" s="42" customFormat="1" ht="35.25" customHeight="1">
      <c r="B21" s="34" t="s">
        <v>659</v>
      </c>
      <c r="C21" s="35" t="s">
        <v>660</v>
      </c>
      <c r="D21" s="35" t="s">
        <v>661</v>
      </c>
      <c r="E21" s="36" t="s">
        <v>662</v>
      </c>
      <c r="F21" s="43">
        <v>44651</v>
      </c>
      <c r="G21" s="10">
        <f t="shared" si="8"/>
        <v>45382</v>
      </c>
      <c r="H21" s="43">
        <v>44923</v>
      </c>
      <c r="I21" s="10">
        <f t="shared" si="8"/>
        <v>45654</v>
      </c>
      <c r="J21" s="43">
        <v>44681</v>
      </c>
      <c r="K21" s="10">
        <f t="shared" si="8"/>
        <v>45412</v>
      </c>
      <c r="L21" s="44" t="s">
        <v>663</v>
      </c>
      <c r="M21" s="45" t="s">
        <v>663</v>
      </c>
      <c r="N21" s="46" t="s">
        <v>232</v>
      </c>
      <c r="O21" s="47" t="s">
        <v>232</v>
      </c>
      <c r="P21" s="47" t="s">
        <v>232</v>
      </c>
      <c r="Q21" s="47" t="s">
        <v>232</v>
      </c>
      <c r="R21" s="47" t="s">
        <v>232</v>
      </c>
      <c r="S21" s="47" t="s">
        <v>232</v>
      </c>
      <c r="T21" s="44" t="s">
        <v>663</v>
      </c>
      <c r="U21" s="45" t="s">
        <v>663</v>
      </c>
      <c r="V21" s="43">
        <v>44736</v>
      </c>
      <c r="W21" s="10">
        <f t="shared" ref="W21" si="15">IF(ISBLANK(V21),"",EDATE(V21,24))</f>
        <v>45467</v>
      </c>
      <c r="X21" s="43">
        <v>44833</v>
      </c>
      <c r="Y21" s="10">
        <f t="shared" ref="Y21" si="16">IF(ISBLANK(X21),"",EDATE(X21,24))</f>
        <v>45564</v>
      </c>
      <c r="Z21" s="43">
        <v>44716</v>
      </c>
      <c r="AA21" s="10">
        <f t="shared" ref="AA21" si="17">IF(ISBLANK(Z21),"",EDATE(Z21,24))</f>
        <v>45447</v>
      </c>
      <c r="AB21" s="43">
        <v>44716</v>
      </c>
      <c r="AC21" s="10">
        <f t="shared" ref="AC21" si="18">IF(ISBLANK(AB21),"",EDATE(AB21,24))</f>
        <v>45447</v>
      </c>
      <c r="AD21" s="47" t="s">
        <v>232</v>
      </c>
      <c r="AE21" s="47" t="s">
        <v>232</v>
      </c>
      <c r="AF21" s="47" t="s">
        <v>232</v>
      </c>
      <c r="AG21" s="47" t="s">
        <v>232</v>
      </c>
      <c r="AH21" s="47" t="s">
        <v>232</v>
      </c>
      <c r="AI21" s="47" t="s">
        <v>232</v>
      </c>
      <c r="AJ21" s="47" t="s">
        <v>232</v>
      </c>
      <c r="AK21" s="47" t="s">
        <v>232</v>
      </c>
      <c r="AL21" s="47" t="s">
        <v>232</v>
      </c>
      <c r="AM21" s="47" t="s">
        <v>232</v>
      </c>
      <c r="AN21" s="43">
        <v>44538</v>
      </c>
      <c r="AO21" s="10">
        <f t="shared" si="14"/>
        <v>45268</v>
      </c>
      <c r="AP21" s="47" t="s">
        <v>232</v>
      </c>
      <c r="AQ21" s="47" t="s">
        <v>232</v>
      </c>
      <c r="AR21" s="47" t="s">
        <v>232</v>
      </c>
      <c r="AS21" s="47" t="s">
        <v>232</v>
      </c>
      <c r="AT21" s="47" t="s">
        <v>232</v>
      </c>
      <c r="AU21" s="48" t="s">
        <v>232</v>
      </c>
    </row>
  </sheetData>
  <mergeCells count="4">
    <mergeCell ref="A1:AU1"/>
    <mergeCell ref="F2:AG2"/>
    <mergeCell ref="AH2:AU2"/>
    <mergeCell ref="A3:A4"/>
  </mergeCells>
  <conditionalFormatting sqref="H20">
    <cfRule type="expression" dxfId="666" priority="39" stopIfTrue="1">
      <formula xml:space="preserve"> AND(H20&gt;TODAY(),H20-TODAY()&lt;=180)</formula>
    </cfRule>
    <cfRule type="expression" dxfId="665" priority="40" stopIfTrue="1">
      <formula>H20&lt;=TODAY()</formula>
    </cfRule>
  </conditionalFormatting>
  <conditionalFormatting sqref="N18:N20">
    <cfRule type="expression" dxfId="664" priority="43" stopIfTrue="1">
      <formula xml:space="preserve"> AND(N18&gt;TODAY(),N18-TODAY()&lt;=180)</formula>
    </cfRule>
    <cfRule type="expression" dxfId="663" priority="44" stopIfTrue="1">
      <formula>N18&lt;=TODAY()</formula>
    </cfRule>
  </conditionalFormatting>
  <conditionalFormatting sqref="S3:S4 W3:W5 O4 Q4 AA4 AE4 Y4:Y5 AG4:AG5 M4:M20 U4:U20 G4:G1048576 I4:I1048576 K4:K1048576 O5:S5 Z5:AA5 AD5:AE5 Q6:S6 W6:AA6 AD6:AU6 O6:O12 P7:S7 AD7:AG7 V7:Y8 Q8:S10 AG8:AG10 P11:S13 AA11:AA13 AE12 N13:O13 AG13:AG14 Q14:S15 AD14:AE17 O14:O20 Z14:AA20 P16:S20 AE18:AE19 AD20:AE20 M22:M1048576 O22:O1048576 Q22:Q1048576 S22:S1048576 U22:U1048576 W22:W1048576 Y22:Y1048576 AA22:AA1048576 AE22:AE1048576 AG22:AG1048576 AI22:AM1048576 AO22:AO1048576 AQ22:AQ1048576 AS22:AS1048576 AU22:AU1048576">
    <cfRule type="expression" dxfId="662" priority="135" stopIfTrue="1">
      <formula xml:space="preserve"> AND(G3&gt;TODAY(),G3-TODAY()&lt;=180)</formula>
    </cfRule>
    <cfRule type="expression" dxfId="661" priority="136" stopIfTrue="1">
      <formula>G3&lt;=TODAY()</formula>
    </cfRule>
  </conditionalFormatting>
  <conditionalFormatting sqref="W9:W21">
    <cfRule type="expression" dxfId="660" priority="1" stopIfTrue="1">
      <formula xml:space="preserve"> AND(W9&gt;TODAY(),W9-TODAY()&lt;=180)</formula>
    </cfRule>
    <cfRule type="expression" dxfId="659" priority="2" stopIfTrue="1">
      <formula>W9&lt;=TODAY()</formula>
    </cfRule>
  </conditionalFormatting>
  <conditionalFormatting sqref="Y9:Y21">
    <cfRule type="expression" dxfId="658" priority="3" stopIfTrue="1">
      <formula xml:space="preserve"> AND(Y9&gt;TODAY(),Y9-TODAY()&lt;=180)</formula>
    </cfRule>
    <cfRule type="expression" dxfId="657" priority="4" stopIfTrue="1">
      <formula>Y9&lt;=TODAY()</formula>
    </cfRule>
  </conditionalFormatting>
  <conditionalFormatting sqref="Z8:AA10 AD8:AE10">
    <cfRule type="expression" dxfId="656" priority="71" stopIfTrue="1">
      <formula xml:space="preserve"> AND(Z8&gt;TODAY(),Z8-TODAY()&lt;=180)</formula>
    </cfRule>
    <cfRule type="expression" dxfId="655" priority="72" stopIfTrue="1">
      <formula>Z8&lt;=TODAY()</formula>
    </cfRule>
  </conditionalFormatting>
  <conditionalFormatting sqref="AA7">
    <cfRule type="expression" dxfId="654" priority="21" stopIfTrue="1">
      <formula xml:space="preserve"> AND(AA7&gt;TODAY(),AA7-TODAY()&lt;=180)</formula>
    </cfRule>
    <cfRule type="expression" dxfId="653" priority="22" stopIfTrue="1">
      <formula>AA7&lt;=TODAY()</formula>
    </cfRule>
  </conditionalFormatting>
  <conditionalFormatting sqref="AA21">
    <cfRule type="expression" dxfId="652" priority="5" stopIfTrue="1">
      <formula xml:space="preserve"> AND(AA21&gt;TODAY(),AA21-TODAY()&lt;=180)</formula>
    </cfRule>
    <cfRule type="expression" dxfId="651" priority="6" stopIfTrue="1">
      <formula>AA21&lt;=TODAY()</formula>
    </cfRule>
  </conditionalFormatting>
  <conditionalFormatting sqref="AB9:AC10">
    <cfRule type="expression" dxfId="650" priority="23" stopIfTrue="1">
      <formula xml:space="preserve"> AND(AB9&gt;TODAY(),AB9-TODAY()&lt;=180)</formula>
    </cfRule>
    <cfRule type="expression" dxfId="649" priority="24" stopIfTrue="1">
      <formula>AB9&lt;=TODAY()</formula>
    </cfRule>
  </conditionalFormatting>
  <conditionalFormatting sqref="AC4 AB5:AC6 AC12:AC13 AB14:AC20 AC22:AC1048576">
    <cfRule type="expression" dxfId="648" priority="27" stopIfTrue="1">
      <formula xml:space="preserve"> AND(AB4&gt;TODAY(),AB4-TODAY()&lt;=180)</formula>
    </cfRule>
    <cfRule type="expression" dxfId="647" priority="28" stopIfTrue="1">
      <formula>AB4&lt;=TODAY()</formula>
    </cfRule>
  </conditionalFormatting>
  <conditionalFormatting sqref="AC21">
    <cfRule type="expression" dxfId="646" priority="7" stopIfTrue="1">
      <formula xml:space="preserve"> AND(AC21&gt;TODAY(),AC21-TODAY()&lt;=180)</formula>
    </cfRule>
    <cfRule type="expression" dxfId="645" priority="8" stopIfTrue="1">
      <formula>AC21&lt;=TODAY()</formula>
    </cfRule>
  </conditionalFormatting>
  <conditionalFormatting sqref="AF15:AG15">
    <cfRule type="expression" dxfId="644" priority="45" stopIfTrue="1">
      <formula xml:space="preserve"> AND(AF15&gt;TODAY(),AF15-TODAY()&lt;=180)</formula>
    </cfRule>
    <cfRule type="expression" dxfId="643" priority="46" stopIfTrue="1">
      <formula>AF15&lt;=TODAY()</formula>
    </cfRule>
  </conditionalFormatting>
  <conditionalFormatting sqref="AF18:AG20">
    <cfRule type="expression" dxfId="642" priority="49" stopIfTrue="1">
      <formula xml:space="preserve"> AND(AF18&gt;TODAY(),AF18-TODAY()&lt;=180)</formula>
    </cfRule>
    <cfRule type="expression" dxfId="641" priority="50" stopIfTrue="1">
      <formula>AF18&lt;=TODAY()</formula>
    </cfRule>
  </conditionalFormatting>
  <conditionalFormatting sqref="AG16:AG17">
    <cfRule type="expression" dxfId="640" priority="110" stopIfTrue="1">
      <formula>AG16&lt;=TODAY()</formula>
    </cfRule>
    <cfRule type="expression" dxfId="639" priority="109" stopIfTrue="1">
      <formula xml:space="preserve"> AND(AG16&gt;TODAY(),AG16-TODAY()&lt;=180)</formula>
    </cfRule>
  </conditionalFormatting>
  <conditionalFormatting sqref="AH15:AH16 AH18:AH20">
    <cfRule type="expression" dxfId="638" priority="107" stopIfTrue="1">
      <formula xml:space="preserve"> AND(AH15&gt;TODAY(),AH15-TODAY()&lt;=180)</formula>
    </cfRule>
    <cfRule type="expression" dxfId="637" priority="108" stopIfTrue="1">
      <formula>AH15&lt;=TODAY()</formula>
    </cfRule>
  </conditionalFormatting>
  <conditionalFormatting sqref="AH7:AM8">
    <cfRule type="expression" dxfId="636" priority="69" stopIfTrue="1">
      <formula xml:space="preserve"> AND(AH7&gt;TODAY(),AH7-TODAY()&lt;=180)</formula>
    </cfRule>
    <cfRule type="expression" dxfId="635" priority="70" stopIfTrue="1">
      <formula>AH7&lt;=TODAY()</formula>
    </cfRule>
  </conditionalFormatting>
  <conditionalFormatting sqref="AI4 AK4">
    <cfRule type="expression" dxfId="634" priority="134" stopIfTrue="1">
      <formula>AI4&lt;=TODAY()</formula>
    </cfRule>
    <cfRule type="expression" dxfId="633" priority="133" stopIfTrue="1">
      <formula xml:space="preserve"> AND(AI4&gt;TODAY(),AI4-TODAY()&lt;=180)</formula>
    </cfRule>
  </conditionalFormatting>
  <conditionalFormatting sqref="AI10 AM10">
    <cfRule type="expression" dxfId="632" priority="115" stopIfTrue="1">
      <formula xml:space="preserve"> AND(AI10&gt;TODAY(),AI10-TODAY()&lt;=180)</formula>
    </cfRule>
    <cfRule type="expression" dxfId="631" priority="116" stopIfTrue="1">
      <formula>AI10&lt;=TODAY()</formula>
    </cfRule>
  </conditionalFormatting>
  <conditionalFormatting sqref="AI13:AI20 AK13:AK20 AM14:AM20">
    <cfRule type="expression" dxfId="630" priority="33" stopIfTrue="1">
      <formula xml:space="preserve"> AND(AI13&gt;TODAY(),AI13-TODAY()&lt;=180)</formula>
    </cfRule>
    <cfRule type="expression" dxfId="629" priority="34" stopIfTrue="1">
      <formula>AI13&lt;=TODAY()</formula>
    </cfRule>
  </conditionalFormatting>
  <conditionalFormatting sqref="AI9:AO9">
    <cfRule type="expression" dxfId="628" priority="85" stopIfTrue="1">
      <formula xml:space="preserve"> AND(AI9&gt;TODAY(),AI9-TODAY()&lt;=180)</formula>
    </cfRule>
    <cfRule type="expression" dxfId="627" priority="86" stopIfTrue="1">
      <formula>AI9&lt;=TODAY()</formula>
    </cfRule>
  </conditionalFormatting>
  <conditionalFormatting sqref="AJ15:AJ16 AJ18:AJ20">
    <cfRule type="expression" dxfId="626" priority="17" stopIfTrue="1">
      <formula xml:space="preserve"> AND(AJ15&gt;TODAY(),AJ15-TODAY()&lt;=180)</formula>
    </cfRule>
    <cfRule type="expression" dxfId="625" priority="18" stopIfTrue="1">
      <formula>AJ15&lt;=TODAY()</formula>
    </cfRule>
  </conditionalFormatting>
  <conditionalFormatting sqref="AK10:AK11">
    <cfRule type="expression" dxfId="624" priority="15" stopIfTrue="1">
      <formula xml:space="preserve"> AND(AK10&gt;TODAY(),AK10-TODAY()&lt;=180)</formula>
    </cfRule>
    <cfRule type="expression" dxfId="623" priority="16" stopIfTrue="1">
      <formula>AK10&lt;=TODAY()</formula>
    </cfRule>
  </conditionalFormatting>
  <conditionalFormatting sqref="AL15:AL16 AL18:AL20">
    <cfRule type="expression" dxfId="622" priority="20" stopIfTrue="1">
      <formula>AL15&lt;=TODAY()</formula>
    </cfRule>
    <cfRule type="expression" dxfId="621" priority="19" stopIfTrue="1">
      <formula xml:space="preserve"> AND(AL15&gt;TODAY(),AL15-TODAY()&lt;=180)</formula>
    </cfRule>
  </conditionalFormatting>
  <conditionalFormatting sqref="AM4:AM5 AI5:AK5">
    <cfRule type="expression" dxfId="620" priority="81" stopIfTrue="1">
      <formula xml:space="preserve"> AND(AI4&gt;TODAY(),AI4-TODAY()&lt;=180)</formula>
    </cfRule>
    <cfRule type="expression" dxfId="619" priority="82" stopIfTrue="1">
      <formula>AI4&lt;=TODAY()</formula>
    </cfRule>
  </conditionalFormatting>
  <conditionalFormatting sqref="AN15:AN16 AN20">
    <cfRule type="expression" dxfId="618" priority="104" stopIfTrue="1">
      <formula>AN15&lt;=TODAY()</formula>
    </cfRule>
    <cfRule type="expression" dxfId="617" priority="103" stopIfTrue="1">
      <formula xml:space="preserve"> AND(AN15&gt;TODAY(),AN15-TODAY()&lt;=180)</formula>
    </cfRule>
  </conditionalFormatting>
  <conditionalFormatting sqref="AN5:AO5">
    <cfRule type="expression" dxfId="616" priority="79" stopIfTrue="1">
      <formula xml:space="preserve"> AND(AN5&gt;TODAY(),AN5-TODAY()&lt;=180)</formula>
    </cfRule>
    <cfRule type="expression" dxfId="615" priority="80" stopIfTrue="1">
      <formula>AN5&lt;=TODAY()</formula>
    </cfRule>
  </conditionalFormatting>
  <conditionalFormatting sqref="AN10:AU10">
    <cfRule type="expression" dxfId="614" priority="113" stopIfTrue="1">
      <formula xml:space="preserve"> AND(AN10&gt;TODAY(),AN10-TODAY()&lt;=180)</formula>
    </cfRule>
    <cfRule type="expression" dxfId="613" priority="114" stopIfTrue="1">
      <formula>AN10&lt;=TODAY()</formula>
    </cfRule>
  </conditionalFormatting>
  <conditionalFormatting sqref="AO4">
    <cfRule type="expression" dxfId="612" priority="131" stopIfTrue="1">
      <formula xml:space="preserve"> AND(AO4&gt;TODAY(),AO4-TODAY()&lt;=180)</formula>
    </cfRule>
    <cfRule type="expression" dxfId="611" priority="132" stopIfTrue="1">
      <formula>AO4&lt;=TODAY()</formula>
    </cfRule>
  </conditionalFormatting>
  <conditionalFormatting sqref="AO7:AO8">
    <cfRule type="expression" dxfId="610" priority="12" stopIfTrue="1">
      <formula>AO7&lt;=TODAY()</formula>
    </cfRule>
    <cfRule type="expression" dxfId="609" priority="11" stopIfTrue="1">
      <formula xml:space="preserve"> AND(AO7&gt;TODAY(),AO7-TODAY()&lt;=180)</formula>
    </cfRule>
  </conditionalFormatting>
  <conditionalFormatting sqref="AO11:AO21">
    <cfRule type="expression" dxfId="608" priority="10" stopIfTrue="1">
      <formula>AO11&lt;=TODAY()</formula>
    </cfRule>
    <cfRule type="expression" dxfId="607" priority="9" stopIfTrue="1">
      <formula xml:space="preserve"> AND(AO11&gt;TODAY(),AO11-TODAY()&lt;=180)</formula>
    </cfRule>
  </conditionalFormatting>
  <conditionalFormatting sqref="AP7:AS7">
    <cfRule type="expression" dxfId="606" priority="73" stopIfTrue="1">
      <formula xml:space="preserve"> AND(AP7&gt;TODAY(),AP7-TODAY()&lt;=180)</formula>
    </cfRule>
    <cfRule type="expression" dxfId="605" priority="74" stopIfTrue="1">
      <formula>AP7&lt;=TODAY()</formula>
    </cfRule>
  </conditionalFormatting>
  <conditionalFormatting sqref="AP5:AU5">
    <cfRule type="expression" dxfId="604" priority="77" stopIfTrue="1">
      <formula xml:space="preserve"> AND(AP5&gt;TODAY(),AP5-TODAY()&lt;=180)</formula>
    </cfRule>
    <cfRule type="expression" dxfId="603" priority="78" stopIfTrue="1">
      <formula>AP5&lt;=TODAY()</formula>
    </cfRule>
  </conditionalFormatting>
  <conditionalFormatting sqref="AP14:AU15">
    <cfRule type="expression" dxfId="602" priority="47" stopIfTrue="1">
      <formula xml:space="preserve"> AND(AP14&gt;TODAY(),AP14-TODAY()&lt;=180)</formula>
    </cfRule>
    <cfRule type="expression" dxfId="601" priority="48" stopIfTrue="1">
      <formula>AP14&lt;=TODAY()</formula>
    </cfRule>
  </conditionalFormatting>
  <conditionalFormatting sqref="AP17:AU20">
    <cfRule type="expression" dxfId="600" priority="52" stopIfTrue="1">
      <formula>AP17&lt;=TODAY()</formula>
    </cfRule>
    <cfRule type="expression" dxfId="599" priority="51" stopIfTrue="1">
      <formula xml:space="preserve"> AND(AP17&gt;TODAY(),AP17-TODAY()&lt;=180)</formula>
    </cfRule>
  </conditionalFormatting>
  <conditionalFormatting sqref="AQ4">
    <cfRule type="expression" dxfId="598" priority="129" stopIfTrue="1">
      <formula xml:space="preserve"> AND(AQ4&gt;TODAY(),AQ4-TODAY()&lt;=180)</formula>
    </cfRule>
    <cfRule type="expression" dxfId="597" priority="130" stopIfTrue="1">
      <formula>AQ4&lt;=TODAY()</formula>
    </cfRule>
  </conditionalFormatting>
  <conditionalFormatting sqref="AQ8:AQ9">
    <cfRule type="expression" dxfId="596" priority="63" stopIfTrue="1">
      <formula xml:space="preserve"> AND(AQ8&gt;TODAY(),AQ8-TODAY()&lt;=180)</formula>
    </cfRule>
    <cfRule type="expression" dxfId="595" priority="64" stopIfTrue="1">
      <formula>AQ8&lt;=TODAY()</formula>
    </cfRule>
  </conditionalFormatting>
  <conditionalFormatting sqref="AQ16">
    <cfRule type="expression" dxfId="594" priority="37" stopIfTrue="1">
      <formula xml:space="preserve"> AND(AQ16&gt;TODAY(),AQ16-TODAY()&lt;=180)</formula>
    </cfRule>
    <cfRule type="expression" dxfId="593" priority="38" stopIfTrue="1">
      <formula>AQ16&lt;=TODAY()</formula>
    </cfRule>
  </conditionalFormatting>
  <conditionalFormatting sqref="AR16:AS16">
    <cfRule type="expression" dxfId="592" priority="111" stopIfTrue="1">
      <formula xml:space="preserve"> AND(AR16&gt;TODAY(),AR16-TODAY()&lt;=180)</formula>
    </cfRule>
    <cfRule type="expression" dxfId="591" priority="112" stopIfTrue="1">
      <formula>AR16&lt;=TODAY()</formula>
    </cfRule>
  </conditionalFormatting>
  <conditionalFormatting sqref="AS4">
    <cfRule type="expression" dxfId="590" priority="127" stopIfTrue="1">
      <formula xml:space="preserve"> AND(AS4&gt;TODAY(),AS4-TODAY()&lt;=180)</formula>
    </cfRule>
    <cfRule type="expression" dxfId="589" priority="128" stopIfTrue="1">
      <formula>AS4&lt;=TODAY()</formula>
    </cfRule>
  </conditionalFormatting>
  <conditionalFormatting sqref="AS8:AS9">
    <cfRule type="expression" dxfId="588" priority="68" stopIfTrue="1">
      <formula>AS8&lt;=TODAY()</formula>
    </cfRule>
    <cfRule type="expression" dxfId="587" priority="67" stopIfTrue="1">
      <formula xml:space="preserve"> AND(AS8&gt;TODAY(),AS8-TODAY()&lt;=180)</formula>
    </cfRule>
  </conditionalFormatting>
  <conditionalFormatting sqref="AU4">
    <cfRule type="expression" dxfId="586" priority="125" stopIfTrue="1">
      <formula xml:space="preserve"> AND(AU4&gt;TODAY(),AU4-TODAY()&lt;=180)</formula>
    </cfRule>
    <cfRule type="expression" dxfId="585" priority="126" stopIfTrue="1">
      <formula>AU4&lt;=TODAY()</formula>
    </cfRule>
  </conditionalFormatting>
  <conditionalFormatting sqref="AU7:AU9">
    <cfRule type="expression" dxfId="584" priority="66" stopIfTrue="1">
      <formula>AU7&lt;=TODAY()</formula>
    </cfRule>
    <cfRule type="expression" dxfId="583" priority="65" stopIfTrue="1">
      <formula xml:space="preserve"> AND(AU7&gt;TODAY(),AU7-TODAY()&lt;=180)</formula>
    </cfRule>
  </conditionalFormatting>
  <conditionalFormatting sqref="AU16">
    <cfRule type="expression" dxfId="582" priority="35" stopIfTrue="1">
      <formula xml:space="preserve"> AND(AU16&gt;TODAY(),AU16-TODAY()&lt;=180)</formula>
    </cfRule>
    <cfRule type="expression" dxfId="581" priority="36" stopIfTrue="1">
      <formula>AU16&lt;=TODAY()</formula>
    </cfRule>
  </conditionalFormatting>
  <pageMargins left="0.25" right="0.25" top="0.75" bottom="0.75" header="0.3" footer="0.3"/>
  <pageSetup paperSize="9" scale="24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96E7-63EC-4912-BD32-580FAA1F43FB}">
  <sheetPr>
    <tabColor rgb="FFFFFF00"/>
    <pageSetUpPr fitToPage="1"/>
  </sheetPr>
  <dimension ref="A1:DA44"/>
  <sheetViews>
    <sheetView topLeftCell="A35" zoomScaleNormal="80" zoomScalePageLayoutView="80" workbookViewId="0">
      <selection activeCell="A44" sqref="A44:XFD44"/>
    </sheetView>
  </sheetViews>
  <sheetFormatPr defaultRowHeight="15" customHeight="1"/>
  <cols>
    <col min="1" max="1" width="5.75" customWidth="1"/>
    <col min="2" max="2" width="13.125" customWidth="1"/>
    <col min="3" max="4" width="20.75" customWidth="1"/>
    <col min="5" max="5" width="35.75" customWidth="1"/>
    <col min="6" max="6" width="11.125" customWidth="1"/>
    <col min="7" max="42" width="11.75" customWidth="1"/>
    <col min="43" max="44" width="10.25" bestFit="1" customWidth="1"/>
    <col min="45" max="45" width="11.125" customWidth="1"/>
    <col min="46" max="46" width="12" customWidth="1"/>
    <col min="47" max="47" width="9.875" bestFit="1" customWidth="1"/>
    <col min="49" max="49" width="10.25" customWidth="1"/>
    <col min="50" max="50" width="10.25" bestFit="1" customWidth="1"/>
    <col min="51" max="51" width="10.25" customWidth="1"/>
    <col min="52" max="57" width="12.125" customWidth="1"/>
    <col min="58" max="58" width="10.75" customWidth="1"/>
    <col min="59" max="59" width="10.25" customWidth="1"/>
    <col min="60" max="60" width="10" customWidth="1"/>
    <col min="61" max="61" width="9.875" bestFit="1" customWidth="1"/>
    <col min="62" max="63" width="10.25" bestFit="1" customWidth="1"/>
    <col min="64" max="64" width="10" customWidth="1"/>
    <col min="65" max="65" width="9.25" customWidth="1"/>
    <col min="66" max="66" width="9" customWidth="1"/>
    <col min="67" max="67" width="9.25" bestFit="1" customWidth="1"/>
    <col min="68" max="72" width="10.25" bestFit="1" customWidth="1"/>
    <col min="74" max="74" width="10.25" bestFit="1" customWidth="1"/>
  </cols>
  <sheetData>
    <row r="1" spans="1:66" ht="27" customHeight="1">
      <c r="A1" s="537" t="s">
        <v>578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537"/>
      <c r="AO1" s="537"/>
      <c r="AP1" s="537"/>
    </row>
    <row r="2" spans="1:66" ht="20.25" customHeight="1">
      <c r="A2" s="2" t="s">
        <v>119</v>
      </c>
      <c r="B2" s="3">
        <f ca="1">TODAY()</f>
        <v>46091</v>
      </c>
      <c r="G2" s="555" t="s">
        <v>664</v>
      </c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6"/>
      <c r="AB2" s="556"/>
      <c r="AC2" s="543" t="s">
        <v>121</v>
      </c>
      <c r="AD2" s="544"/>
      <c r="AE2" s="544"/>
      <c r="AF2" s="544"/>
      <c r="AG2" s="544"/>
      <c r="AH2" s="544"/>
      <c r="AI2" s="121"/>
      <c r="AJ2" s="121"/>
      <c r="AK2" s="121"/>
      <c r="AL2" s="121"/>
      <c r="AM2" s="121"/>
      <c r="AN2" s="121"/>
      <c r="AO2" s="545" t="s">
        <v>122</v>
      </c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1" t="s">
        <v>123</v>
      </c>
      <c r="BA2" s="542"/>
      <c r="BB2" s="542"/>
      <c r="BC2" s="542"/>
      <c r="BD2" s="542"/>
      <c r="BE2" s="542"/>
      <c r="BF2" s="542"/>
      <c r="BG2" s="542"/>
      <c r="BH2" s="542"/>
      <c r="BI2" s="542"/>
      <c r="BJ2" s="542"/>
      <c r="BK2" s="542"/>
      <c r="BL2" s="542"/>
    </row>
    <row r="3" spans="1:66" s="148" customFormat="1" ht="200.25" customHeight="1">
      <c r="A3" s="547" t="s">
        <v>1</v>
      </c>
      <c r="B3" s="549" t="s">
        <v>665</v>
      </c>
      <c r="C3" s="551" t="s">
        <v>666</v>
      </c>
      <c r="D3" s="552"/>
      <c r="E3" s="549" t="s">
        <v>127</v>
      </c>
      <c r="F3" s="309"/>
      <c r="G3" s="128" t="s">
        <v>129</v>
      </c>
      <c r="H3" s="128" t="s">
        <v>579</v>
      </c>
      <c r="I3" s="129" t="s">
        <v>15</v>
      </c>
      <c r="J3" s="129" t="s">
        <v>131</v>
      </c>
      <c r="K3" s="129" t="s">
        <v>47</v>
      </c>
      <c r="L3" s="129" t="s">
        <v>132</v>
      </c>
      <c r="M3" s="129" t="s">
        <v>133</v>
      </c>
      <c r="N3" s="129" t="s">
        <v>134</v>
      </c>
      <c r="O3" s="129" t="s">
        <v>135</v>
      </c>
      <c r="P3" s="129" t="s">
        <v>136</v>
      </c>
      <c r="Q3" s="129" t="s">
        <v>137</v>
      </c>
      <c r="R3" s="129" t="s">
        <v>582</v>
      </c>
      <c r="S3" s="129" t="s">
        <v>583</v>
      </c>
      <c r="T3" s="129" t="s">
        <v>152</v>
      </c>
      <c r="U3" s="129" t="s">
        <v>153</v>
      </c>
      <c r="V3" s="129" t="s">
        <v>154</v>
      </c>
      <c r="W3" s="129" t="s">
        <v>46</v>
      </c>
      <c r="X3" s="129" t="s">
        <v>155</v>
      </c>
      <c r="Y3" s="130" t="s">
        <v>156</v>
      </c>
      <c r="Z3" s="130" t="s">
        <v>157</v>
      </c>
      <c r="AA3" s="131" t="s">
        <v>158</v>
      </c>
      <c r="AB3" s="131" t="s">
        <v>159</v>
      </c>
      <c r="AC3" s="132" t="s">
        <v>164</v>
      </c>
      <c r="AD3" s="132" t="s">
        <v>584</v>
      </c>
      <c r="AE3" s="132" t="s">
        <v>166</v>
      </c>
      <c r="AF3" s="132" t="s">
        <v>585</v>
      </c>
      <c r="AG3" s="132" t="s">
        <v>168</v>
      </c>
      <c r="AH3" s="132" t="s">
        <v>586</v>
      </c>
      <c r="AI3" s="132"/>
      <c r="AJ3" s="132"/>
      <c r="AK3" s="132"/>
      <c r="AL3" s="132"/>
      <c r="AM3" s="132"/>
      <c r="AN3" s="132"/>
      <c r="AO3" s="133" t="s">
        <v>587</v>
      </c>
      <c r="AP3" s="133" t="s">
        <v>588</v>
      </c>
      <c r="AQ3" s="133" t="s">
        <v>184</v>
      </c>
      <c r="AR3" s="133" t="s">
        <v>589</v>
      </c>
      <c r="AS3" s="133" t="s">
        <v>185</v>
      </c>
      <c r="AT3" s="133" t="s">
        <v>590</v>
      </c>
      <c r="AU3" s="133" t="s">
        <v>591</v>
      </c>
      <c r="AV3" s="133" t="s">
        <v>592</v>
      </c>
      <c r="AW3" s="133" t="s">
        <v>593</v>
      </c>
      <c r="AX3" s="133" t="s">
        <v>188</v>
      </c>
      <c r="AY3" s="133" t="s">
        <v>189</v>
      </c>
      <c r="AZ3" s="134" t="s">
        <v>191</v>
      </c>
      <c r="BA3" s="135" t="s">
        <v>192</v>
      </c>
      <c r="BB3" s="136" t="s">
        <v>193</v>
      </c>
      <c r="BC3" s="137" t="s">
        <v>194</v>
      </c>
      <c r="BD3" s="138" t="s">
        <v>195</v>
      </c>
      <c r="BE3" s="133" t="s">
        <v>196</v>
      </c>
      <c r="BF3" s="139" t="s">
        <v>197</v>
      </c>
      <c r="BG3" s="140" t="s">
        <v>199</v>
      </c>
      <c r="BH3" s="141" t="s">
        <v>200</v>
      </c>
      <c r="BI3" s="142" t="s">
        <v>667</v>
      </c>
      <c r="BJ3" s="143" t="s">
        <v>202</v>
      </c>
      <c r="BK3" s="144" t="s">
        <v>668</v>
      </c>
      <c r="BL3" s="145" t="s">
        <v>669</v>
      </c>
      <c r="BM3" s="146" t="s">
        <v>205</v>
      </c>
      <c r="BN3" s="147" t="s">
        <v>206</v>
      </c>
    </row>
    <row r="4" spans="1:66" s="148" customFormat="1" ht="20.25" customHeight="1">
      <c r="A4" s="548"/>
      <c r="B4" s="550"/>
      <c r="C4" s="553"/>
      <c r="D4" s="554"/>
      <c r="E4" s="550"/>
      <c r="F4" s="309"/>
      <c r="G4" s="149" t="s">
        <v>224</v>
      </c>
      <c r="H4" s="150" t="s">
        <v>225</v>
      </c>
      <c r="I4" s="149" t="s">
        <v>224</v>
      </c>
      <c r="J4" s="150" t="s">
        <v>225</v>
      </c>
      <c r="K4" s="149" t="s">
        <v>224</v>
      </c>
      <c r="L4" s="150" t="s">
        <v>225</v>
      </c>
      <c r="M4" s="149" t="s">
        <v>224</v>
      </c>
      <c r="N4" s="150" t="s">
        <v>225</v>
      </c>
      <c r="O4" s="151" t="s">
        <v>224</v>
      </c>
      <c r="P4" s="152" t="s">
        <v>225</v>
      </c>
      <c r="Q4" s="151" t="s">
        <v>224</v>
      </c>
      <c r="R4" s="152" t="s">
        <v>225</v>
      </c>
      <c r="S4" s="149" t="s">
        <v>224</v>
      </c>
      <c r="T4" s="150" t="s">
        <v>225</v>
      </c>
      <c r="U4" s="149" t="s">
        <v>224</v>
      </c>
      <c r="V4" s="150" t="s">
        <v>225</v>
      </c>
      <c r="W4" s="149" t="s">
        <v>224</v>
      </c>
      <c r="X4" s="150" t="s">
        <v>225</v>
      </c>
      <c r="Y4" s="149" t="s">
        <v>224</v>
      </c>
      <c r="Z4" s="150" t="s">
        <v>225</v>
      </c>
      <c r="AA4" s="149" t="s">
        <v>224</v>
      </c>
      <c r="AB4" s="150" t="s">
        <v>225</v>
      </c>
      <c r="AC4" s="149" t="s">
        <v>224</v>
      </c>
      <c r="AD4" s="150" t="s">
        <v>225</v>
      </c>
      <c r="AE4" s="149" t="s">
        <v>224</v>
      </c>
      <c r="AF4" s="150" t="s">
        <v>225</v>
      </c>
      <c r="AG4" s="149" t="s">
        <v>224</v>
      </c>
      <c r="AH4" s="150" t="s">
        <v>225</v>
      </c>
      <c r="AI4" s="150"/>
      <c r="AJ4" s="150"/>
      <c r="AK4" s="150"/>
      <c r="AL4" s="150"/>
      <c r="AM4" s="150"/>
      <c r="AN4" s="150"/>
      <c r="AO4" s="149" t="s">
        <v>224</v>
      </c>
      <c r="AP4" s="150" t="s">
        <v>225</v>
      </c>
      <c r="AQ4" s="149" t="s">
        <v>224</v>
      </c>
      <c r="AR4" s="150" t="s">
        <v>225</v>
      </c>
      <c r="AS4" s="149" t="s">
        <v>224</v>
      </c>
      <c r="AT4" s="150" t="s">
        <v>225</v>
      </c>
      <c r="AU4" s="149" t="s">
        <v>224</v>
      </c>
      <c r="AV4" s="150" t="s">
        <v>225</v>
      </c>
      <c r="AW4" s="149" t="s">
        <v>224</v>
      </c>
      <c r="AX4" s="149" t="s">
        <v>224</v>
      </c>
      <c r="AY4" s="149" t="s">
        <v>224</v>
      </c>
      <c r="AZ4" s="153" t="s">
        <v>224</v>
      </c>
      <c r="BA4" s="153" t="s">
        <v>224</v>
      </c>
      <c r="BB4" s="153" t="s">
        <v>224</v>
      </c>
      <c r="BC4" s="153" t="s">
        <v>224</v>
      </c>
      <c r="BD4" s="153" t="s">
        <v>224</v>
      </c>
      <c r="BE4" s="153" t="s">
        <v>224</v>
      </c>
      <c r="BF4" s="153" t="s">
        <v>224</v>
      </c>
      <c r="BG4" s="153" t="s">
        <v>224</v>
      </c>
      <c r="BH4" s="153" t="s">
        <v>224</v>
      </c>
      <c r="BI4" s="153" t="s">
        <v>224</v>
      </c>
      <c r="BJ4" s="153" t="s">
        <v>224</v>
      </c>
      <c r="BK4" s="153" t="s">
        <v>224</v>
      </c>
      <c r="BL4" s="154" t="s">
        <v>224</v>
      </c>
      <c r="BM4" s="155" t="s">
        <v>224</v>
      </c>
      <c r="BN4" s="155" t="s">
        <v>224</v>
      </c>
    </row>
    <row r="5" spans="1:66" s="148" customFormat="1" ht="35.25" customHeight="1">
      <c r="A5" s="156" t="s">
        <v>670</v>
      </c>
      <c r="B5" s="156" t="s">
        <v>671</v>
      </c>
      <c r="C5" s="157" t="s">
        <v>672</v>
      </c>
      <c r="D5" s="158" t="s">
        <v>673</v>
      </c>
      <c r="E5" s="158" t="s">
        <v>674</v>
      </c>
      <c r="F5" s="158"/>
      <c r="G5" s="159">
        <v>44575</v>
      </c>
      <c r="H5" s="159">
        <f>IF(ISBLANK(G5),"",EDATE(G5,24))</f>
        <v>45305</v>
      </c>
      <c r="I5" s="159">
        <v>44578</v>
      </c>
      <c r="J5" s="159">
        <f t="shared" ref="J5:J6" si="0">IF(ISBLANK(I5),"",EDATE(I5,24))</f>
        <v>45308</v>
      </c>
      <c r="K5" s="159">
        <v>44586</v>
      </c>
      <c r="L5" s="159">
        <f t="shared" ref="L5:L6" si="1">IF(ISBLANK(K5),"",EDATE(K5,24))</f>
        <v>45316</v>
      </c>
      <c r="M5" s="160" t="s">
        <v>232</v>
      </c>
      <c r="N5" s="160" t="s">
        <v>232</v>
      </c>
      <c r="O5" s="159">
        <v>44748</v>
      </c>
      <c r="P5" s="159">
        <f t="shared" ref="P5:P6" si="2">IF(ISBLANK(O5),"",EDATE(O5,24))</f>
        <v>45479</v>
      </c>
      <c r="Q5" s="160" t="s">
        <v>232</v>
      </c>
      <c r="R5" s="160" t="s">
        <v>232</v>
      </c>
      <c r="S5" s="160" t="s">
        <v>232</v>
      </c>
      <c r="T5" s="160" t="s">
        <v>232</v>
      </c>
      <c r="U5" s="160" t="s">
        <v>232</v>
      </c>
      <c r="V5" s="160" t="s">
        <v>232</v>
      </c>
      <c r="W5" s="159">
        <v>44581</v>
      </c>
      <c r="X5" s="160" t="s">
        <v>232</v>
      </c>
      <c r="Y5" s="159">
        <v>44603</v>
      </c>
      <c r="Z5" s="160" t="s">
        <v>232</v>
      </c>
      <c r="AA5" s="160" t="s">
        <v>232</v>
      </c>
      <c r="AB5" s="160" t="s">
        <v>232</v>
      </c>
      <c r="AC5" s="160" t="s">
        <v>232</v>
      </c>
      <c r="AD5" s="160" t="s">
        <v>232</v>
      </c>
      <c r="AE5" s="159"/>
      <c r="AF5" s="159" t="str">
        <f t="shared" ref="AF5" si="3">IF(ISBLANK(AE5),"",EDATE(AE5,24))</f>
        <v/>
      </c>
      <c r="AG5" s="159"/>
      <c r="AH5" s="159" t="str">
        <f t="shared" ref="AH5" si="4">IF(ISBLANK(AG5),"",EDATE(AG5,24))</f>
        <v/>
      </c>
      <c r="AI5" s="159"/>
      <c r="AJ5" s="159"/>
      <c r="AK5" s="159"/>
      <c r="AL5" s="159"/>
      <c r="AM5" s="159"/>
      <c r="AN5" s="159"/>
      <c r="AO5" s="159"/>
      <c r="AP5" s="159" t="str">
        <f t="shared" ref="AP5" si="5">IF(ISBLANK(AO5),"",EDATE(AO5,24))</f>
        <v/>
      </c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2"/>
      <c r="BM5" s="163"/>
      <c r="BN5" s="163"/>
    </row>
    <row r="6" spans="1:66" s="148" customFormat="1" ht="35.25" customHeight="1">
      <c r="A6" s="156" t="s">
        <v>675</v>
      </c>
      <c r="B6" s="156" t="s">
        <v>676</v>
      </c>
      <c r="C6" s="158" t="s">
        <v>255</v>
      </c>
      <c r="D6" s="158" t="s">
        <v>256</v>
      </c>
      <c r="E6" s="158" t="s">
        <v>257</v>
      </c>
      <c r="F6" s="158"/>
      <c r="G6" s="159">
        <v>44575</v>
      </c>
      <c r="H6" s="159">
        <f t="shared" ref="H6" si="6">IF(ISBLANK(G6),"",EDATE(G6,24))</f>
        <v>45305</v>
      </c>
      <c r="I6" s="159">
        <v>44578</v>
      </c>
      <c r="J6" s="159">
        <f t="shared" si="0"/>
        <v>45308</v>
      </c>
      <c r="K6" s="159">
        <v>44586</v>
      </c>
      <c r="L6" s="159">
        <f t="shared" si="1"/>
        <v>45316</v>
      </c>
      <c r="M6" s="159">
        <v>44771</v>
      </c>
      <c r="N6" s="160" t="s">
        <v>232</v>
      </c>
      <c r="O6" s="159">
        <v>44743</v>
      </c>
      <c r="P6" s="159">
        <f t="shared" si="2"/>
        <v>45474</v>
      </c>
      <c r="Q6" s="159">
        <v>41473</v>
      </c>
      <c r="R6" s="160" t="s">
        <v>232</v>
      </c>
      <c r="S6" s="160" t="s">
        <v>232</v>
      </c>
      <c r="T6" s="160" t="s">
        <v>232</v>
      </c>
      <c r="U6" s="159">
        <v>44705</v>
      </c>
      <c r="V6" s="160" t="s">
        <v>232</v>
      </c>
      <c r="W6" s="159">
        <v>44581</v>
      </c>
      <c r="X6" s="160" t="s">
        <v>232</v>
      </c>
      <c r="Y6" s="159">
        <v>44603</v>
      </c>
      <c r="Z6" s="160" t="s">
        <v>232</v>
      </c>
      <c r="AA6" s="159">
        <v>44735</v>
      </c>
      <c r="AB6" s="160" t="s">
        <v>232</v>
      </c>
      <c r="AC6" s="160" t="s">
        <v>232</v>
      </c>
      <c r="AD6" s="160" t="s">
        <v>232</v>
      </c>
      <c r="AE6" s="159">
        <v>43126</v>
      </c>
      <c r="AF6" s="160" t="s">
        <v>232</v>
      </c>
      <c r="AG6" s="160" t="s">
        <v>232</v>
      </c>
      <c r="AH6" s="160" t="s">
        <v>232</v>
      </c>
      <c r="AI6" s="160"/>
      <c r="AJ6" s="160"/>
      <c r="AK6" s="160"/>
      <c r="AL6" s="160"/>
      <c r="AM6" s="160"/>
      <c r="AN6" s="160"/>
      <c r="AO6" s="159">
        <v>43284</v>
      </c>
      <c r="AP6" s="160" t="s">
        <v>232</v>
      </c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2"/>
      <c r="BM6" s="163"/>
      <c r="BN6" s="163"/>
    </row>
    <row r="7" spans="1:66" s="148" customFormat="1" ht="30" customHeight="1">
      <c r="A7" s="156" t="s">
        <v>677</v>
      </c>
      <c r="B7" s="164" t="s">
        <v>605</v>
      </c>
      <c r="C7" s="165" t="s">
        <v>606</v>
      </c>
      <c r="D7" s="165" t="s">
        <v>607</v>
      </c>
      <c r="E7" s="158" t="s">
        <v>273</v>
      </c>
      <c r="F7" s="158"/>
      <c r="G7" s="159">
        <v>45275</v>
      </c>
      <c r="H7" s="159">
        <f t="shared" ref="H7:H17" si="7">IF(ISBLANK(G7),"",EDATE(G7,24))</f>
        <v>46006</v>
      </c>
      <c r="I7" s="159">
        <v>45298</v>
      </c>
      <c r="J7" s="159">
        <f t="shared" ref="J7:J17" si="8">IF(ISBLANK(I7),"",EDATE(I7,24))</f>
        <v>46029</v>
      </c>
      <c r="K7" s="159">
        <v>45246</v>
      </c>
      <c r="L7" s="159">
        <f>IF(ISBLANK(K7),"",EDATE(K7,24))</f>
        <v>45977</v>
      </c>
      <c r="M7" s="159">
        <v>44771</v>
      </c>
      <c r="N7" s="160" t="s">
        <v>232</v>
      </c>
      <c r="O7" s="159">
        <v>44972</v>
      </c>
      <c r="P7" s="159">
        <f>IF(ISBLANK(O7),"",EDATE(O7,24))</f>
        <v>45703</v>
      </c>
      <c r="Q7" s="159">
        <v>45239</v>
      </c>
      <c r="R7" s="159">
        <f>IF(ISBLANK(Q7),"",EDATE(Q7,24))</f>
        <v>45970</v>
      </c>
      <c r="S7" s="159">
        <v>44743</v>
      </c>
      <c r="T7" s="159">
        <f t="shared" ref="T7:T17" si="9">IF(ISBLANK(S7),"",EDATE(S7,24))</f>
        <v>45474</v>
      </c>
      <c r="U7" s="159">
        <v>44581</v>
      </c>
      <c r="V7" s="160" t="s">
        <v>232</v>
      </c>
      <c r="W7" s="160" t="s">
        <v>232</v>
      </c>
      <c r="X7" s="160" t="s">
        <v>232</v>
      </c>
      <c r="Y7" s="160" t="s">
        <v>232</v>
      </c>
      <c r="Z7" s="160" t="s">
        <v>232</v>
      </c>
      <c r="AA7" s="160" t="s">
        <v>232</v>
      </c>
      <c r="AB7" s="160" t="s">
        <v>232</v>
      </c>
      <c r="AC7" s="160" t="s">
        <v>232</v>
      </c>
      <c r="AD7" s="160" t="s">
        <v>232</v>
      </c>
      <c r="AE7" s="160" t="s">
        <v>232</v>
      </c>
      <c r="AF7" s="160" t="s">
        <v>232</v>
      </c>
      <c r="AG7" s="160" t="s">
        <v>232</v>
      </c>
      <c r="AH7" s="160" t="s">
        <v>232</v>
      </c>
      <c r="AI7" s="160"/>
      <c r="AJ7" s="160"/>
      <c r="AK7" s="160"/>
      <c r="AL7" s="160"/>
      <c r="AM7" s="160"/>
      <c r="AN7" s="160"/>
      <c r="AO7" s="160" t="s">
        <v>232</v>
      </c>
      <c r="AP7" s="160" t="s">
        <v>232</v>
      </c>
      <c r="AQ7" s="160" t="s">
        <v>232</v>
      </c>
      <c r="AR7" s="160" t="s">
        <v>232</v>
      </c>
      <c r="AS7" s="160" t="s">
        <v>232</v>
      </c>
      <c r="AT7" s="160" t="s">
        <v>232</v>
      </c>
      <c r="AU7" s="160" t="s">
        <v>232</v>
      </c>
      <c r="AV7" s="160" t="s">
        <v>232</v>
      </c>
      <c r="AW7" s="160" t="s">
        <v>232</v>
      </c>
      <c r="AX7" s="160" t="s">
        <v>232</v>
      </c>
      <c r="AY7" s="160" t="s">
        <v>232</v>
      </c>
      <c r="AZ7" s="159"/>
      <c r="BA7" s="159"/>
      <c r="BB7" s="159"/>
      <c r="BC7" s="159"/>
      <c r="BD7" s="159"/>
      <c r="BE7" s="159"/>
      <c r="BF7" s="161"/>
      <c r="BG7" s="161"/>
      <c r="BH7" s="161"/>
      <c r="BI7" s="161"/>
      <c r="BJ7" s="161"/>
      <c r="BK7" s="161"/>
      <c r="BL7" s="162"/>
      <c r="BM7" s="163"/>
      <c r="BN7" s="163"/>
    </row>
    <row r="8" spans="1:66" s="148" customFormat="1" ht="30" customHeight="1">
      <c r="A8" s="156" t="s">
        <v>678</v>
      </c>
      <c r="B8" s="164" t="s">
        <v>618</v>
      </c>
      <c r="C8" s="165" t="s">
        <v>619</v>
      </c>
      <c r="D8" s="165" t="s">
        <v>620</v>
      </c>
      <c r="E8" s="158" t="s">
        <v>621</v>
      </c>
      <c r="F8" s="158"/>
      <c r="G8" s="159">
        <v>44575</v>
      </c>
      <c r="H8" s="159">
        <f t="shared" si="7"/>
        <v>45305</v>
      </c>
      <c r="I8" s="159">
        <v>45298</v>
      </c>
      <c r="J8" s="159">
        <f t="shared" si="8"/>
        <v>46029</v>
      </c>
      <c r="K8" s="159">
        <v>44586</v>
      </c>
      <c r="L8" s="159">
        <f>IF(ISBLANK(K8),"",EDATE(K8,24))</f>
        <v>45316</v>
      </c>
      <c r="M8" s="159">
        <v>44771</v>
      </c>
      <c r="N8" s="159">
        <f>IF(ISBLANK(M8),"",EDATE(M8,24))</f>
        <v>45502</v>
      </c>
      <c r="O8" s="159">
        <v>44972</v>
      </c>
      <c r="P8" s="159">
        <f>IF(ISBLANK(O8),"",EDATE(O8,24))</f>
        <v>45703</v>
      </c>
      <c r="Q8" s="159">
        <v>45267</v>
      </c>
      <c r="R8" s="159">
        <f>IF(ISBLANK(Q8),"",EDATE(Q8,24))</f>
        <v>45998</v>
      </c>
      <c r="S8" s="159">
        <v>44743</v>
      </c>
      <c r="T8" s="159">
        <f t="shared" si="9"/>
        <v>45474</v>
      </c>
      <c r="U8" s="159">
        <v>44581</v>
      </c>
      <c r="V8" s="160" t="s">
        <v>232</v>
      </c>
      <c r="W8" s="159">
        <v>44603</v>
      </c>
      <c r="X8" s="160" t="s">
        <v>232</v>
      </c>
      <c r="Y8" s="160" t="s">
        <v>232</v>
      </c>
      <c r="Z8" s="166" t="e">
        <f>IF(ISBLANK(Y8),"",EDATE(Y8,12))</f>
        <v>#VALUE!</v>
      </c>
      <c r="AA8" s="159">
        <v>45206</v>
      </c>
      <c r="AB8" s="160">
        <f>IF(ISBLANK(AA8),"",EDATE(AA8,12))</f>
        <v>45572</v>
      </c>
      <c r="AC8" s="160" t="s">
        <v>232</v>
      </c>
      <c r="AD8" s="160" t="s">
        <v>232</v>
      </c>
      <c r="AE8" s="160" t="s">
        <v>232</v>
      </c>
      <c r="AF8" s="160" t="s">
        <v>232</v>
      </c>
      <c r="AG8" s="160" t="s">
        <v>232</v>
      </c>
      <c r="AH8" s="160" t="s">
        <v>232</v>
      </c>
      <c r="AI8" s="160"/>
      <c r="AJ8" s="160"/>
      <c r="AK8" s="160"/>
      <c r="AL8" s="160"/>
      <c r="AM8" s="160"/>
      <c r="AN8" s="160"/>
      <c r="AO8" s="159">
        <v>44705</v>
      </c>
      <c r="AP8" s="160" t="s">
        <v>232</v>
      </c>
      <c r="AQ8" s="159">
        <v>44735</v>
      </c>
      <c r="AR8" s="160" t="s">
        <v>232</v>
      </c>
      <c r="AS8" s="160" t="s">
        <v>232</v>
      </c>
      <c r="AT8" s="160" t="s">
        <v>232</v>
      </c>
      <c r="AU8" s="160" t="s">
        <v>232</v>
      </c>
      <c r="AV8" s="160" t="s">
        <v>232</v>
      </c>
      <c r="AW8" s="159">
        <v>42425</v>
      </c>
      <c r="AX8" s="159">
        <v>43742</v>
      </c>
      <c r="AY8" s="159">
        <v>42361</v>
      </c>
      <c r="AZ8" s="159"/>
      <c r="BA8" s="159"/>
      <c r="BB8" s="159"/>
      <c r="BC8" s="159"/>
      <c r="BD8" s="159"/>
      <c r="BE8" s="159"/>
      <c r="BF8" s="161"/>
      <c r="BG8" s="161"/>
      <c r="BH8" s="161"/>
      <c r="BI8" s="161"/>
      <c r="BJ8" s="161"/>
      <c r="BK8" s="161"/>
      <c r="BL8" s="162"/>
      <c r="BM8" s="163"/>
      <c r="BN8" s="163"/>
    </row>
    <row r="9" spans="1:66" s="148" customFormat="1" ht="30" customHeight="1">
      <c r="A9" s="156" t="s">
        <v>679</v>
      </c>
      <c r="B9" s="164" t="s">
        <v>598</v>
      </c>
      <c r="C9" s="167" t="s">
        <v>599</v>
      </c>
      <c r="D9" s="165" t="s">
        <v>600</v>
      </c>
      <c r="E9" s="158" t="s">
        <v>601</v>
      </c>
      <c r="F9" s="158"/>
      <c r="G9" s="159">
        <v>45275</v>
      </c>
      <c r="H9" s="159">
        <f t="shared" si="7"/>
        <v>46006</v>
      </c>
      <c r="I9" s="159">
        <v>45298</v>
      </c>
      <c r="J9" s="159">
        <f t="shared" si="8"/>
        <v>46029</v>
      </c>
      <c r="K9" s="159">
        <v>44586</v>
      </c>
      <c r="L9" s="160" t="s">
        <v>232</v>
      </c>
      <c r="M9" s="159">
        <v>44771</v>
      </c>
      <c r="N9" s="160" t="s">
        <v>232</v>
      </c>
      <c r="O9" s="160" t="s">
        <v>232</v>
      </c>
      <c r="P9" s="160" t="s">
        <v>232</v>
      </c>
      <c r="Q9" s="160" t="s">
        <v>232</v>
      </c>
      <c r="R9" s="160" t="s">
        <v>232</v>
      </c>
      <c r="S9" s="159">
        <v>44743</v>
      </c>
      <c r="T9" s="159">
        <f t="shared" si="9"/>
        <v>45474</v>
      </c>
      <c r="U9" s="159">
        <v>44581</v>
      </c>
      <c r="V9" s="160" t="s">
        <v>232</v>
      </c>
      <c r="W9" s="159">
        <v>44603</v>
      </c>
      <c r="X9" s="160" t="s">
        <v>232</v>
      </c>
      <c r="Y9" s="160" t="s">
        <v>232</v>
      </c>
      <c r="Z9" s="160" t="s">
        <v>232</v>
      </c>
      <c r="AA9" s="160" t="s">
        <v>232</v>
      </c>
      <c r="AB9" s="160" t="s">
        <v>232</v>
      </c>
      <c r="AC9" s="160" t="s">
        <v>232</v>
      </c>
      <c r="AD9" s="160" t="s">
        <v>232</v>
      </c>
      <c r="AE9" s="160" t="s">
        <v>232</v>
      </c>
      <c r="AF9" s="160" t="s">
        <v>232</v>
      </c>
      <c r="AG9" s="160" t="s">
        <v>232</v>
      </c>
      <c r="AH9" s="160" t="s">
        <v>232</v>
      </c>
      <c r="AI9" s="160"/>
      <c r="AJ9" s="160"/>
      <c r="AK9" s="160"/>
      <c r="AL9" s="160"/>
      <c r="AM9" s="160"/>
      <c r="AN9" s="160"/>
      <c r="AO9" s="159">
        <v>44705</v>
      </c>
      <c r="AP9" s="160" t="s">
        <v>232</v>
      </c>
      <c r="AQ9" s="159">
        <v>44735</v>
      </c>
      <c r="AR9" s="160" t="s">
        <v>232</v>
      </c>
      <c r="AS9" s="160" t="s">
        <v>232</v>
      </c>
      <c r="AT9" s="160" t="s">
        <v>232</v>
      </c>
      <c r="AU9" s="159">
        <v>44735</v>
      </c>
      <c r="AV9" s="160" t="s">
        <v>232</v>
      </c>
      <c r="AW9" s="160" t="s">
        <v>232</v>
      </c>
      <c r="AX9" s="160" t="s">
        <v>232</v>
      </c>
      <c r="AY9" s="160" t="s">
        <v>232</v>
      </c>
      <c r="AZ9" s="159"/>
      <c r="BA9" s="159"/>
      <c r="BB9" s="159"/>
      <c r="BC9" s="159"/>
      <c r="BD9" s="159"/>
      <c r="BE9" s="159"/>
      <c r="BF9" s="161"/>
      <c r="BG9" s="161"/>
      <c r="BH9" s="161"/>
      <c r="BI9" s="161"/>
      <c r="BJ9" s="161"/>
      <c r="BK9" s="161"/>
      <c r="BL9" s="162"/>
      <c r="BM9" s="163"/>
      <c r="BN9" s="163"/>
    </row>
    <row r="10" spans="1:66" s="148" customFormat="1" ht="30" customHeight="1">
      <c r="A10" s="156" t="s">
        <v>680</v>
      </c>
      <c r="B10" s="164" t="s">
        <v>631</v>
      </c>
      <c r="C10" s="165" t="s">
        <v>632</v>
      </c>
      <c r="D10" s="165" t="s">
        <v>633</v>
      </c>
      <c r="E10" s="158" t="s">
        <v>634</v>
      </c>
      <c r="F10" s="158"/>
      <c r="G10" s="159">
        <v>44575</v>
      </c>
      <c r="H10" s="159">
        <f t="shared" si="7"/>
        <v>45305</v>
      </c>
      <c r="I10" s="159">
        <v>45298</v>
      </c>
      <c r="J10" s="159">
        <f t="shared" si="8"/>
        <v>46029</v>
      </c>
      <c r="K10" s="159">
        <v>44586</v>
      </c>
      <c r="L10" s="159">
        <f t="shared" ref="L10:L15" si="10">IF(ISBLANK(K10),"",EDATE(K10,24))</f>
        <v>45316</v>
      </c>
      <c r="M10" s="160" t="s">
        <v>232</v>
      </c>
      <c r="N10" s="160" t="s">
        <v>232</v>
      </c>
      <c r="O10" s="160" t="s">
        <v>232</v>
      </c>
      <c r="P10" s="160" t="s">
        <v>232</v>
      </c>
      <c r="Q10" s="159">
        <v>45267</v>
      </c>
      <c r="R10" s="159">
        <f t="shared" ref="R10:R17" si="11">IF(ISBLANK(Q10),"",EDATE(Q10,24))</f>
        <v>45998</v>
      </c>
      <c r="S10" s="159">
        <v>44743</v>
      </c>
      <c r="T10" s="159">
        <f t="shared" si="9"/>
        <v>45474</v>
      </c>
      <c r="U10" s="159">
        <v>44581</v>
      </c>
      <c r="V10" s="159">
        <f t="shared" ref="V10:V17" si="12">IF(ISBLANK(U10),"",EDATE(U10,24))</f>
        <v>45311</v>
      </c>
      <c r="W10" s="159">
        <v>44603</v>
      </c>
      <c r="X10" s="159">
        <f>IF(ISBLANK(W10),"",EDATE(W10,24))</f>
        <v>45333</v>
      </c>
      <c r="Y10" s="159">
        <v>45054</v>
      </c>
      <c r="Z10" s="159">
        <f>IF(ISBLANK(Y10),"",EDATE(Y10,24))</f>
        <v>45785</v>
      </c>
      <c r="AA10" s="159">
        <v>45206</v>
      </c>
      <c r="AB10" s="159">
        <f t="shared" ref="AB10:AB15" si="13">IF(ISBLANK(AA10),"",EDATE(AA10,12))</f>
        <v>45572</v>
      </c>
      <c r="AC10" s="159">
        <v>44791</v>
      </c>
      <c r="AD10" s="159">
        <f>IF(ISBLANK(AC10),"",EDATE(AC10,24))</f>
        <v>45522</v>
      </c>
      <c r="AE10" s="159">
        <v>45021</v>
      </c>
      <c r="AF10" s="159">
        <f>IF(ISBLANK(AE10),"",EDATE(AE10,24))</f>
        <v>45752</v>
      </c>
      <c r="AG10" s="160" t="s">
        <v>232</v>
      </c>
      <c r="AH10" s="160" t="s">
        <v>232</v>
      </c>
      <c r="AI10" s="160"/>
      <c r="AJ10" s="160"/>
      <c r="AK10" s="160"/>
      <c r="AL10" s="160"/>
      <c r="AM10" s="160"/>
      <c r="AN10" s="160"/>
      <c r="AO10" s="159">
        <v>44705</v>
      </c>
      <c r="AP10" s="160" t="s">
        <v>232</v>
      </c>
      <c r="AQ10" s="159">
        <v>44735</v>
      </c>
      <c r="AR10" s="160" t="s">
        <v>232</v>
      </c>
      <c r="AS10" s="159">
        <v>44735</v>
      </c>
      <c r="AT10" s="160" t="s">
        <v>232</v>
      </c>
      <c r="AU10" s="160" t="s">
        <v>232</v>
      </c>
      <c r="AV10" s="160" t="s">
        <v>232</v>
      </c>
      <c r="AW10" s="159">
        <v>42720</v>
      </c>
      <c r="AX10" s="160" t="s">
        <v>232</v>
      </c>
      <c r="AY10" s="159">
        <v>42361</v>
      </c>
      <c r="AZ10" s="159"/>
      <c r="BA10" s="159"/>
      <c r="BB10" s="159"/>
      <c r="BC10" s="159"/>
      <c r="BD10" s="159"/>
      <c r="BE10" s="159"/>
      <c r="BF10" s="161"/>
      <c r="BG10" s="161"/>
      <c r="BH10" s="161"/>
      <c r="BI10" s="161"/>
      <c r="BJ10" s="161"/>
      <c r="BK10" s="161"/>
      <c r="BL10" s="162"/>
      <c r="BM10" s="163"/>
      <c r="BN10" s="163"/>
    </row>
    <row r="11" spans="1:66" s="148" customFormat="1" ht="30" customHeight="1">
      <c r="A11" s="156" t="s">
        <v>681</v>
      </c>
      <c r="B11" s="164" t="s">
        <v>640</v>
      </c>
      <c r="C11" s="165" t="s">
        <v>641</v>
      </c>
      <c r="D11" s="165" t="s">
        <v>642</v>
      </c>
      <c r="E11" s="158" t="s">
        <v>643</v>
      </c>
      <c r="F11" s="158"/>
      <c r="G11" s="166">
        <v>44935</v>
      </c>
      <c r="H11" s="159">
        <f t="shared" si="7"/>
        <v>45666</v>
      </c>
      <c r="I11" s="159">
        <v>45298</v>
      </c>
      <c r="J11" s="159">
        <f t="shared" si="8"/>
        <v>46029</v>
      </c>
      <c r="K11" s="166">
        <v>45246</v>
      </c>
      <c r="L11" s="159">
        <f t="shared" si="10"/>
        <v>45977</v>
      </c>
      <c r="M11" s="159">
        <v>44781</v>
      </c>
      <c r="N11" s="159">
        <f>IF(ISBLANK(M11),"",EDATE(M11,24))</f>
        <v>45512</v>
      </c>
      <c r="O11" s="159">
        <v>44972</v>
      </c>
      <c r="P11" s="159">
        <f>IF(ISBLANK(O11),"",EDATE(O11,24))</f>
        <v>45703</v>
      </c>
      <c r="Q11" s="159">
        <v>45239</v>
      </c>
      <c r="R11" s="159">
        <f t="shared" si="11"/>
        <v>45970</v>
      </c>
      <c r="S11" s="166">
        <v>45261</v>
      </c>
      <c r="T11" s="159">
        <f t="shared" si="9"/>
        <v>45992</v>
      </c>
      <c r="U11" s="159">
        <v>44587</v>
      </c>
      <c r="V11" s="159">
        <f t="shared" si="12"/>
        <v>45317</v>
      </c>
      <c r="W11" s="159">
        <v>45262</v>
      </c>
      <c r="X11" s="160" t="s">
        <v>232</v>
      </c>
      <c r="Y11" s="159">
        <v>45087</v>
      </c>
      <c r="Z11" s="160" t="s">
        <v>232</v>
      </c>
      <c r="AA11" s="159"/>
      <c r="AB11" s="166" t="str">
        <f t="shared" si="13"/>
        <v/>
      </c>
      <c r="AC11" s="160" t="s">
        <v>232</v>
      </c>
      <c r="AD11" s="160" t="s">
        <v>232</v>
      </c>
      <c r="AE11" s="160" t="s">
        <v>232</v>
      </c>
      <c r="AF11" s="160" t="s">
        <v>232</v>
      </c>
      <c r="AG11" s="160" t="s">
        <v>232</v>
      </c>
      <c r="AH11" s="160" t="s">
        <v>232</v>
      </c>
      <c r="AI11" s="160"/>
      <c r="AJ11" s="160"/>
      <c r="AK11" s="160"/>
      <c r="AL11" s="160"/>
      <c r="AM11" s="160"/>
      <c r="AN11" s="160"/>
      <c r="AO11" s="160" t="s">
        <v>232</v>
      </c>
      <c r="AP11" s="160" t="s">
        <v>232</v>
      </c>
      <c r="AQ11" s="160" t="s">
        <v>232</v>
      </c>
      <c r="AR11" s="160" t="s">
        <v>232</v>
      </c>
      <c r="AS11" s="160" t="s">
        <v>232</v>
      </c>
      <c r="AT11" s="160" t="s">
        <v>232</v>
      </c>
      <c r="AU11" s="160" t="s">
        <v>232</v>
      </c>
      <c r="AV11" s="160" t="s">
        <v>232</v>
      </c>
      <c r="AW11" s="160" t="s">
        <v>232</v>
      </c>
      <c r="AX11" s="160" t="s">
        <v>232</v>
      </c>
      <c r="AY11" s="160" t="s">
        <v>232</v>
      </c>
      <c r="AZ11" s="159"/>
      <c r="BA11" s="159"/>
      <c r="BB11" s="159"/>
      <c r="BC11" s="159"/>
      <c r="BD11" s="159"/>
      <c r="BE11" s="159"/>
      <c r="BF11" s="161"/>
      <c r="BG11" s="161"/>
      <c r="BH11" s="161"/>
      <c r="BI11" s="161"/>
      <c r="BJ11" s="161"/>
      <c r="BK11" s="161"/>
      <c r="BL11" s="162"/>
      <c r="BM11" s="163"/>
      <c r="BN11" s="163"/>
    </row>
    <row r="12" spans="1:66" s="148" customFormat="1" ht="30" customHeight="1">
      <c r="A12" s="156" t="s">
        <v>682</v>
      </c>
      <c r="B12" s="164" t="s">
        <v>636</v>
      </c>
      <c r="C12" s="165" t="s">
        <v>637</v>
      </c>
      <c r="D12" s="165" t="s">
        <v>638</v>
      </c>
      <c r="E12" s="158" t="s">
        <v>253</v>
      </c>
      <c r="F12" s="158"/>
      <c r="G12" s="159">
        <v>44935</v>
      </c>
      <c r="H12" s="159">
        <f t="shared" si="7"/>
        <v>45666</v>
      </c>
      <c r="I12" s="159">
        <v>45298</v>
      </c>
      <c r="J12" s="159">
        <f t="shared" si="8"/>
        <v>46029</v>
      </c>
      <c r="K12" s="159">
        <v>44992</v>
      </c>
      <c r="L12" s="159">
        <f t="shared" si="10"/>
        <v>45723</v>
      </c>
      <c r="M12" s="159">
        <v>44907</v>
      </c>
      <c r="N12" s="159">
        <f>IF(ISBLANK(M12),"",EDATE(M12,24))</f>
        <v>45638</v>
      </c>
      <c r="O12" s="159">
        <v>44972</v>
      </c>
      <c r="P12" s="159">
        <f>IF(ISBLANK(O12),"",EDATE(O12,24))</f>
        <v>45703</v>
      </c>
      <c r="Q12" s="159">
        <v>45267</v>
      </c>
      <c r="R12" s="159">
        <f t="shared" si="11"/>
        <v>45998</v>
      </c>
      <c r="S12" s="159">
        <v>45261</v>
      </c>
      <c r="T12" s="159">
        <f t="shared" si="9"/>
        <v>45992</v>
      </c>
      <c r="U12" s="159">
        <v>45329</v>
      </c>
      <c r="V12" s="159">
        <f t="shared" si="12"/>
        <v>46060</v>
      </c>
      <c r="W12" s="159">
        <v>45262</v>
      </c>
      <c r="X12" s="159">
        <f t="shared" ref="X12:X17" si="14">IF(ISBLANK(W12),"",EDATE(W12,24))</f>
        <v>45993</v>
      </c>
      <c r="Y12" s="159">
        <v>45087</v>
      </c>
      <c r="Z12" s="166">
        <f>IF(ISBLANK(Y12),"",EDATE(Y12,12))</f>
        <v>45453</v>
      </c>
      <c r="AA12" s="159">
        <v>45206</v>
      </c>
      <c r="AB12" s="166">
        <f t="shared" si="13"/>
        <v>45572</v>
      </c>
      <c r="AC12" s="160" t="s">
        <v>232</v>
      </c>
      <c r="AD12" s="160" t="s">
        <v>232</v>
      </c>
      <c r="AE12" s="160" t="s">
        <v>232</v>
      </c>
      <c r="AF12" s="160" t="s">
        <v>232</v>
      </c>
      <c r="AG12" s="160" t="s">
        <v>232</v>
      </c>
      <c r="AH12" s="160" t="s">
        <v>232</v>
      </c>
      <c r="AI12" s="160"/>
      <c r="AJ12" s="160"/>
      <c r="AK12" s="160"/>
      <c r="AL12" s="160"/>
      <c r="AM12" s="160"/>
      <c r="AN12" s="160"/>
      <c r="AO12" s="159">
        <v>44023</v>
      </c>
      <c r="AP12" s="160" t="s">
        <v>232</v>
      </c>
      <c r="AQ12" s="159">
        <v>44354</v>
      </c>
      <c r="AR12" s="160" t="s">
        <v>232</v>
      </c>
      <c r="AS12" s="159">
        <v>45012</v>
      </c>
      <c r="AT12" s="159">
        <f>IF(ISBLANK(AS12),"",EDATE(AS12,24))</f>
        <v>45743</v>
      </c>
      <c r="AU12" s="159">
        <v>44354</v>
      </c>
      <c r="AV12" s="160" t="s">
        <v>232</v>
      </c>
      <c r="AW12" s="160" t="s">
        <v>232</v>
      </c>
      <c r="AX12" s="160" t="s">
        <v>232</v>
      </c>
      <c r="AY12" s="160" t="s">
        <v>232</v>
      </c>
      <c r="AZ12" s="159"/>
      <c r="BA12" s="159"/>
      <c r="BB12" s="159"/>
      <c r="BC12" s="159">
        <v>45280</v>
      </c>
      <c r="BD12" s="159">
        <v>45331</v>
      </c>
      <c r="BE12" s="159">
        <v>45324</v>
      </c>
      <c r="BF12" s="161"/>
      <c r="BG12" s="161"/>
      <c r="BH12" s="161"/>
      <c r="BI12" s="161"/>
      <c r="BJ12" s="161"/>
      <c r="BK12" s="161"/>
      <c r="BL12" s="162"/>
      <c r="BM12" s="163"/>
      <c r="BN12" s="163"/>
    </row>
    <row r="13" spans="1:66" s="148" customFormat="1" ht="30" customHeight="1">
      <c r="A13" s="156" t="s">
        <v>683</v>
      </c>
      <c r="B13" s="164" t="s">
        <v>609</v>
      </c>
      <c r="C13" s="165" t="s">
        <v>610</v>
      </c>
      <c r="D13" s="165" t="s">
        <v>611</v>
      </c>
      <c r="E13" s="158" t="s">
        <v>612</v>
      </c>
      <c r="F13" s="158"/>
      <c r="G13" s="159">
        <v>45275</v>
      </c>
      <c r="H13" s="159">
        <f t="shared" si="7"/>
        <v>46006</v>
      </c>
      <c r="I13" s="159">
        <v>45298</v>
      </c>
      <c r="J13" s="159">
        <f t="shared" si="8"/>
        <v>46029</v>
      </c>
      <c r="K13" s="159">
        <v>45246</v>
      </c>
      <c r="L13" s="159">
        <f t="shared" si="10"/>
        <v>45977</v>
      </c>
      <c r="M13" s="160" t="s">
        <v>232</v>
      </c>
      <c r="N13" s="160" t="s">
        <v>232</v>
      </c>
      <c r="O13" s="160" t="s">
        <v>232</v>
      </c>
      <c r="P13" s="160" t="s">
        <v>232</v>
      </c>
      <c r="Q13" s="159">
        <v>45267</v>
      </c>
      <c r="R13" s="159">
        <f t="shared" si="11"/>
        <v>45998</v>
      </c>
      <c r="S13" s="159">
        <v>44910</v>
      </c>
      <c r="T13" s="159">
        <f t="shared" si="9"/>
        <v>45641</v>
      </c>
      <c r="U13" s="159">
        <v>45254</v>
      </c>
      <c r="V13" s="159">
        <f t="shared" si="12"/>
        <v>45985</v>
      </c>
      <c r="W13" s="159">
        <v>45219</v>
      </c>
      <c r="X13" s="159">
        <f t="shared" si="14"/>
        <v>45950</v>
      </c>
      <c r="Y13" s="166">
        <v>45087</v>
      </c>
      <c r="Z13" s="166">
        <f>IF(ISBLANK(Y13),"",EDATE(Y13,12))</f>
        <v>45453</v>
      </c>
      <c r="AA13" s="159">
        <v>45206</v>
      </c>
      <c r="AB13" s="166">
        <f t="shared" si="13"/>
        <v>45572</v>
      </c>
      <c r="AC13" s="159">
        <v>45021</v>
      </c>
      <c r="AD13" s="159">
        <f>IF(ISBLANK(AC13),"",EDATE(AC13,24))</f>
        <v>45752</v>
      </c>
      <c r="AE13" s="159">
        <v>45021</v>
      </c>
      <c r="AF13" s="159">
        <f>IF(ISBLANK(AE13),"",EDATE(AE13,24))</f>
        <v>45752</v>
      </c>
      <c r="AG13" s="160" t="s">
        <v>232</v>
      </c>
      <c r="AH13" s="160" t="s">
        <v>232</v>
      </c>
      <c r="AI13" s="160"/>
      <c r="AJ13" s="160"/>
      <c r="AK13" s="160"/>
      <c r="AL13" s="160"/>
      <c r="AM13" s="160"/>
      <c r="AN13" s="160"/>
      <c r="AO13" s="160" t="s">
        <v>232</v>
      </c>
      <c r="AP13" s="160" t="s">
        <v>232</v>
      </c>
      <c r="AQ13" s="160" t="s">
        <v>232</v>
      </c>
      <c r="AR13" s="160" t="s">
        <v>232</v>
      </c>
      <c r="AS13" s="160" t="s">
        <v>232</v>
      </c>
      <c r="AT13" s="160" t="s">
        <v>232</v>
      </c>
      <c r="AU13" s="160" t="s">
        <v>232</v>
      </c>
      <c r="AV13" s="160" t="s">
        <v>232</v>
      </c>
      <c r="AW13" s="160" t="s">
        <v>232</v>
      </c>
      <c r="AX13" s="160" t="s">
        <v>232</v>
      </c>
      <c r="AY13" s="159">
        <v>42070</v>
      </c>
      <c r="AZ13" s="159"/>
      <c r="BA13" s="159"/>
      <c r="BB13" s="159"/>
      <c r="BC13" s="159">
        <v>45280</v>
      </c>
      <c r="BD13" s="159"/>
      <c r="BE13" s="159"/>
      <c r="BF13" s="161"/>
      <c r="BG13" s="161"/>
      <c r="BH13" s="161"/>
      <c r="BI13" s="161"/>
      <c r="BJ13" s="161"/>
      <c r="BK13" s="161"/>
      <c r="BL13" s="162"/>
      <c r="BM13" s="163"/>
      <c r="BN13" s="163"/>
    </row>
    <row r="14" spans="1:66" s="148" customFormat="1" ht="30" customHeight="1">
      <c r="A14" s="156" t="s">
        <v>684</v>
      </c>
      <c r="B14" s="164" t="s">
        <v>614</v>
      </c>
      <c r="C14" s="165" t="s">
        <v>615</v>
      </c>
      <c r="D14" s="165" t="s">
        <v>616</v>
      </c>
      <c r="E14" s="158" t="s">
        <v>257</v>
      </c>
      <c r="F14" s="158"/>
      <c r="G14" s="159">
        <v>45275</v>
      </c>
      <c r="H14" s="159">
        <f t="shared" si="7"/>
        <v>46006</v>
      </c>
      <c r="I14" s="159">
        <v>45298</v>
      </c>
      <c r="J14" s="159">
        <f t="shared" si="8"/>
        <v>46029</v>
      </c>
      <c r="K14" s="159">
        <v>44736</v>
      </c>
      <c r="L14" s="159">
        <f t="shared" si="10"/>
        <v>45467</v>
      </c>
      <c r="M14" s="159">
        <v>44972</v>
      </c>
      <c r="N14" s="159">
        <f>IF(ISBLANK(M14),"",EDATE(M14,24))</f>
        <v>45703</v>
      </c>
      <c r="O14" s="159">
        <v>44972</v>
      </c>
      <c r="P14" s="159">
        <f>IF(ISBLANK(O14),"",EDATE(O14,24))</f>
        <v>45703</v>
      </c>
      <c r="Q14" s="159">
        <v>45267</v>
      </c>
      <c r="R14" s="159">
        <f t="shared" si="11"/>
        <v>45998</v>
      </c>
      <c r="S14" s="159">
        <v>44974</v>
      </c>
      <c r="T14" s="159">
        <f t="shared" si="9"/>
        <v>45705</v>
      </c>
      <c r="U14" s="159">
        <v>45254</v>
      </c>
      <c r="V14" s="159">
        <f t="shared" si="12"/>
        <v>45985</v>
      </c>
      <c r="W14" s="159">
        <v>45219</v>
      </c>
      <c r="X14" s="159">
        <f t="shared" si="14"/>
        <v>45950</v>
      </c>
      <c r="Y14" s="166">
        <v>45087</v>
      </c>
      <c r="Z14" s="166">
        <f>IF(ISBLANK(Y14),"",EDATE(Y14,12))</f>
        <v>45453</v>
      </c>
      <c r="AA14" s="159">
        <v>45206</v>
      </c>
      <c r="AB14" s="166">
        <f t="shared" si="13"/>
        <v>45572</v>
      </c>
      <c r="AC14" s="160" t="s">
        <v>232</v>
      </c>
      <c r="AD14" s="160" t="s">
        <v>232</v>
      </c>
      <c r="AE14" s="160" t="s">
        <v>232</v>
      </c>
      <c r="AF14" s="160" t="s">
        <v>232</v>
      </c>
      <c r="AG14" s="160" t="s">
        <v>232</v>
      </c>
      <c r="AH14" s="160" t="s">
        <v>232</v>
      </c>
      <c r="AI14" s="160"/>
      <c r="AJ14" s="160"/>
      <c r="AK14" s="160"/>
      <c r="AL14" s="160"/>
      <c r="AM14" s="160"/>
      <c r="AN14" s="160"/>
      <c r="AO14" s="159">
        <v>44804</v>
      </c>
      <c r="AP14" s="160" t="s">
        <v>232</v>
      </c>
      <c r="AQ14" s="160" t="s">
        <v>232</v>
      </c>
      <c r="AR14" s="160" t="s">
        <v>232</v>
      </c>
      <c r="AS14" s="160" t="s">
        <v>232</v>
      </c>
      <c r="AT14" s="160" t="s">
        <v>232</v>
      </c>
      <c r="AU14" s="160" t="s">
        <v>232</v>
      </c>
      <c r="AV14" s="160" t="s">
        <v>232</v>
      </c>
      <c r="AW14" s="159">
        <v>42131</v>
      </c>
      <c r="AX14" s="159">
        <v>43069</v>
      </c>
      <c r="AY14" s="159">
        <v>41899</v>
      </c>
      <c r="AZ14" s="159"/>
      <c r="BA14" s="159"/>
      <c r="BB14" s="159"/>
      <c r="BC14" s="159">
        <v>45280</v>
      </c>
      <c r="BD14" s="159"/>
      <c r="BE14" s="159"/>
      <c r="BF14" s="161"/>
      <c r="BG14" s="161"/>
      <c r="BH14" s="161"/>
      <c r="BI14" s="161"/>
      <c r="BJ14" s="161"/>
      <c r="BK14" s="161"/>
      <c r="BL14" s="162"/>
      <c r="BM14" s="163"/>
      <c r="BN14" s="163"/>
    </row>
    <row r="15" spans="1:66" s="148" customFormat="1" ht="30" customHeight="1">
      <c r="A15" s="156" t="s">
        <v>685</v>
      </c>
      <c r="B15" s="164" t="s">
        <v>650</v>
      </c>
      <c r="C15" s="165" t="s">
        <v>651</v>
      </c>
      <c r="D15" s="165" t="s">
        <v>652</v>
      </c>
      <c r="E15" s="158" t="s">
        <v>253</v>
      </c>
      <c r="F15" s="158"/>
      <c r="G15" s="159">
        <v>45275</v>
      </c>
      <c r="H15" s="159">
        <f t="shared" si="7"/>
        <v>46006</v>
      </c>
      <c r="I15" s="159">
        <v>45298</v>
      </c>
      <c r="J15" s="159">
        <f t="shared" si="8"/>
        <v>46029</v>
      </c>
      <c r="K15" s="166">
        <v>45016</v>
      </c>
      <c r="L15" s="159">
        <f t="shared" si="10"/>
        <v>45747</v>
      </c>
      <c r="M15" s="159">
        <v>45093</v>
      </c>
      <c r="N15" s="159">
        <f>IF(ISBLANK(M15),"",EDATE(M15,24))</f>
        <v>45824</v>
      </c>
      <c r="O15" s="159">
        <v>45093</v>
      </c>
      <c r="P15" s="159">
        <f>IF(ISBLANK(O15),"",EDATE(O15,24))</f>
        <v>45824</v>
      </c>
      <c r="Q15" s="159">
        <v>45267</v>
      </c>
      <c r="R15" s="159">
        <f t="shared" si="11"/>
        <v>45998</v>
      </c>
      <c r="S15" s="166">
        <v>45061</v>
      </c>
      <c r="T15" s="159">
        <f t="shared" si="9"/>
        <v>45792</v>
      </c>
      <c r="U15" s="159">
        <v>45254</v>
      </c>
      <c r="V15" s="159">
        <f t="shared" si="12"/>
        <v>45985</v>
      </c>
      <c r="W15" s="159">
        <v>45262</v>
      </c>
      <c r="X15" s="159">
        <f t="shared" si="14"/>
        <v>45993</v>
      </c>
      <c r="Y15" s="159">
        <v>45087</v>
      </c>
      <c r="Z15" s="166">
        <f>IF(ISBLANK(Y15),"",EDATE(Y15,12))</f>
        <v>45453</v>
      </c>
      <c r="AA15" s="159">
        <v>45206</v>
      </c>
      <c r="AB15" s="166">
        <f t="shared" si="13"/>
        <v>45572</v>
      </c>
      <c r="AC15" s="160" t="s">
        <v>232</v>
      </c>
      <c r="AD15" s="160" t="s">
        <v>232</v>
      </c>
      <c r="AE15" s="160" t="s">
        <v>232</v>
      </c>
      <c r="AF15" s="160" t="s">
        <v>232</v>
      </c>
      <c r="AG15" s="160" t="s">
        <v>232</v>
      </c>
      <c r="AH15" s="160" t="s">
        <v>232</v>
      </c>
      <c r="AI15" s="160"/>
      <c r="AJ15" s="160"/>
      <c r="AK15" s="160"/>
      <c r="AL15" s="160"/>
      <c r="AM15" s="160"/>
      <c r="AN15" s="160"/>
      <c r="AO15" s="166">
        <v>44101</v>
      </c>
      <c r="AP15" s="160" t="s">
        <v>232</v>
      </c>
      <c r="AQ15" s="159">
        <v>44354</v>
      </c>
      <c r="AR15" s="160" t="s">
        <v>232</v>
      </c>
      <c r="AS15" s="159">
        <v>45093</v>
      </c>
      <c r="AT15" s="159">
        <f>IF(ISBLANK(AS15),"",EDATE(AS15,24))</f>
        <v>45824</v>
      </c>
      <c r="AU15" s="159">
        <v>44354</v>
      </c>
      <c r="AV15" s="160" t="s">
        <v>232</v>
      </c>
      <c r="AW15" s="160" t="s">
        <v>232</v>
      </c>
      <c r="AX15" s="160" t="s">
        <v>232</v>
      </c>
      <c r="AY15" s="160" t="s">
        <v>232</v>
      </c>
      <c r="AZ15" s="159"/>
      <c r="BA15" s="159"/>
      <c r="BB15" s="159"/>
      <c r="BC15" s="159">
        <v>45280</v>
      </c>
      <c r="BD15" s="159">
        <v>45331</v>
      </c>
      <c r="BE15" s="159">
        <v>45324</v>
      </c>
      <c r="BF15" s="161"/>
      <c r="BG15" s="161"/>
      <c r="BH15" s="161"/>
      <c r="BI15" s="161"/>
      <c r="BJ15" s="161"/>
      <c r="BK15" s="161"/>
      <c r="BL15" s="162"/>
      <c r="BM15" s="163"/>
      <c r="BN15" s="163"/>
    </row>
    <row r="16" spans="1:66" s="148" customFormat="1" ht="30" customHeight="1">
      <c r="A16" s="156" t="s">
        <v>686</v>
      </c>
      <c r="B16" s="156" t="s">
        <v>645</v>
      </c>
      <c r="C16" s="158" t="s">
        <v>646</v>
      </c>
      <c r="D16" s="158" t="s">
        <v>647</v>
      </c>
      <c r="E16" s="158" t="s">
        <v>437</v>
      </c>
      <c r="F16" s="158"/>
      <c r="G16" s="159">
        <v>45275</v>
      </c>
      <c r="H16" s="159">
        <f t="shared" si="7"/>
        <v>46006</v>
      </c>
      <c r="I16" s="159">
        <v>45298</v>
      </c>
      <c r="J16" s="159">
        <f t="shared" si="8"/>
        <v>46029</v>
      </c>
      <c r="K16" s="166">
        <v>44778</v>
      </c>
      <c r="L16" s="159">
        <v>45565</v>
      </c>
      <c r="M16" s="159">
        <v>45093</v>
      </c>
      <c r="N16" s="159">
        <f>IF(ISBLANK(M16),"",EDATE(M16,24))</f>
        <v>45824</v>
      </c>
      <c r="O16" s="159">
        <v>45093</v>
      </c>
      <c r="P16" s="159">
        <f>IF(ISBLANK(O16),"",EDATE(O16,24))</f>
        <v>45824</v>
      </c>
      <c r="Q16" s="159">
        <v>45239</v>
      </c>
      <c r="R16" s="159">
        <f t="shared" si="11"/>
        <v>45970</v>
      </c>
      <c r="S16" s="166">
        <v>45061</v>
      </c>
      <c r="T16" s="159">
        <f t="shared" si="9"/>
        <v>45792</v>
      </c>
      <c r="U16" s="159">
        <v>45254</v>
      </c>
      <c r="V16" s="159">
        <f t="shared" si="12"/>
        <v>45985</v>
      </c>
      <c r="W16" s="159">
        <v>45262</v>
      </c>
      <c r="X16" s="159">
        <f t="shared" si="14"/>
        <v>45993</v>
      </c>
      <c r="Y16" s="159">
        <v>45087</v>
      </c>
      <c r="Z16" s="159">
        <f>IF(ISBLANK(Y16),"",EDATE(Y16,24))</f>
        <v>45818</v>
      </c>
      <c r="AA16" s="159">
        <v>45206</v>
      </c>
      <c r="AB16" s="159">
        <f>IF(ISBLANK(AA16),"",EDATE(AA16,24))</f>
        <v>45937</v>
      </c>
      <c r="AC16" s="160" t="s">
        <v>232</v>
      </c>
      <c r="AD16" s="160" t="s">
        <v>232</v>
      </c>
      <c r="AE16" s="160" t="s">
        <v>232</v>
      </c>
      <c r="AF16" s="160" t="s">
        <v>232</v>
      </c>
      <c r="AG16" s="160" t="s">
        <v>232</v>
      </c>
      <c r="AH16" s="160" t="s">
        <v>232</v>
      </c>
      <c r="AI16" s="160"/>
      <c r="AJ16" s="160"/>
      <c r="AK16" s="160"/>
      <c r="AL16" s="160"/>
      <c r="AM16" s="160"/>
      <c r="AN16" s="160"/>
      <c r="AO16" s="166">
        <v>44253</v>
      </c>
      <c r="AP16" s="160" t="s">
        <v>232</v>
      </c>
      <c r="AQ16" s="160" t="s">
        <v>232</v>
      </c>
      <c r="AR16" s="160" t="s">
        <v>232</v>
      </c>
      <c r="AS16" s="159">
        <v>44701</v>
      </c>
      <c r="AT16" s="160" t="s">
        <v>232</v>
      </c>
      <c r="AU16" s="160" t="s">
        <v>232</v>
      </c>
      <c r="AV16" s="160" t="s">
        <v>232</v>
      </c>
      <c r="AW16" s="159">
        <v>44060</v>
      </c>
      <c r="AX16" s="159"/>
      <c r="AY16" s="159"/>
      <c r="AZ16" s="159"/>
      <c r="BA16" s="159">
        <v>45280</v>
      </c>
      <c r="BB16" s="159">
        <v>45331</v>
      </c>
      <c r="BC16" s="159">
        <v>45324</v>
      </c>
      <c r="BD16" s="161"/>
      <c r="BE16" s="161"/>
      <c r="BF16" s="161"/>
      <c r="BG16" s="161"/>
      <c r="BH16" s="161"/>
      <c r="BI16" s="161"/>
      <c r="BJ16" s="161"/>
      <c r="BK16" s="161"/>
      <c r="BL16" s="162"/>
      <c r="BM16" s="163"/>
      <c r="BN16" s="163"/>
    </row>
    <row r="17" spans="1:105" s="148" customFormat="1" ht="30" customHeight="1">
      <c r="A17" s="156" t="s">
        <v>687</v>
      </c>
      <c r="B17" s="156" t="s">
        <v>688</v>
      </c>
      <c r="C17" s="158" t="s">
        <v>689</v>
      </c>
      <c r="D17" s="158" t="s">
        <v>690</v>
      </c>
      <c r="E17" s="158" t="s">
        <v>327</v>
      </c>
      <c r="F17" s="158"/>
      <c r="G17" s="159">
        <v>45275</v>
      </c>
      <c r="H17" s="159">
        <f t="shared" si="7"/>
        <v>46006</v>
      </c>
      <c r="I17" s="159">
        <v>45298</v>
      </c>
      <c r="J17" s="159">
        <f t="shared" si="8"/>
        <v>46029</v>
      </c>
      <c r="K17" s="166">
        <v>45063</v>
      </c>
      <c r="L17" s="159">
        <f t="shared" ref="L17:L24" si="15">IF(ISBLANK(K17),"",EDATE(K17,24))</f>
        <v>45794</v>
      </c>
      <c r="M17" s="159">
        <v>45210</v>
      </c>
      <c r="N17" s="159">
        <f>IF(ISBLANK(M17),"",EDATE(M17,24))</f>
        <v>45941</v>
      </c>
      <c r="O17" s="159">
        <v>45210</v>
      </c>
      <c r="P17" s="159">
        <f>IF(ISBLANK(O17),"",EDATE(O17,24))</f>
        <v>45941</v>
      </c>
      <c r="Q17" s="159">
        <v>45239</v>
      </c>
      <c r="R17" s="159">
        <f t="shared" si="11"/>
        <v>45970</v>
      </c>
      <c r="S17" s="166">
        <v>45261</v>
      </c>
      <c r="T17" s="159">
        <f t="shared" si="9"/>
        <v>45992</v>
      </c>
      <c r="U17" s="159">
        <v>45329</v>
      </c>
      <c r="V17" s="159">
        <f t="shared" si="12"/>
        <v>46060</v>
      </c>
      <c r="W17" s="159">
        <v>45262</v>
      </c>
      <c r="X17" s="159">
        <f t="shared" si="14"/>
        <v>45993</v>
      </c>
      <c r="Y17" s="159">
        <v>45086</v>
      </c>
      <c r="Z17" s="159">
        <f>IF(ISBLANK(Y17),"",EDATE(Y17,24))</f>
        <v>45817</v>
      </c>
      <c r="AA17" s="159">
        <v>45206</v>
      </c>
      <c r="AB17" s="159">
        <f>IF(ISBLANK(AA17),"",EDATE(AA17,24))</f>
        <v>45937</v>
      </c>
      <c r="AC17" s="160" t="s">
        <v>232</v>
      </c>
      <c r="AD17" s="160" t="s">
        <v>232</v>
      </c>
      <c r="AE17" s="160" t="s">
        <v>232</v>
      </c>
      <c r="AF17" s="160" t="s">
        <v>232</v>
      </c>
      <c r="AG17" s="160" t="s">
        <v>232</v>
      </c>
      <c r="AH17" s="160" t="s">
        <v>232</v>
      </c>
      <c r="AI17" s="160"/>
      <c r="AJ17" s="160"/>
      <c r="AK17" s="160"/>
      <c r="AL17" s="160"/>
      <c r="AM17" s="160"/>
      <c r="AN17" s="160"/>
      <c r="AO17" s="159">
        <v>45147</v>
      </c>
      <c r="AP17" s="159">
        <v>43825</v>
      </c>
      <c r="AQ17" s="168" t="s">
        <v>232</v>
      </c>
      <c r="AR17" s="168" t="s">
        <v>232</v>
      </c>
      <c r="AS17" s="159">
        <v>44832</v>
      </c>
      <c r="AT17" s="160" t="s">
        <v>232</v>
      </c>
      <c r="AU17" s="159">
        <v>45119</v>
      </c>
      <c r="AV17" s="160" t="s">
        <v>232</v>
      </c>
      <c r="AW17" s="159">
        <v>44841</v>
      </c>
      <c r="AX17" s="159"/>
      <c r="AY17" s="159"/>
      <c r="AZ17" s="159"/>
      <c r="BA17" s="159">
        <v>45280</v>
      </c>
      <c r="BB17" s="159">
        <v>45331</v>
      </c>
      <c r="BC17" s="159">
        <v>45324</v>
      </c>
      <c r="BD17" s="161"/>
      <c r="BE17" s="161"/>
      <c r="BF17" s="161"/>
      <c r="BG17" s="161"/>
      <c r="BH17" s="161"/>
      <c r="BI17" s="161"/>
      <c r="BJ17" s="161"/>
      <c r="BK17" s="161"/>
      <c r="BL17" s="162"/>
      <c r="BM17" s="163"/>
      <c r="BN17" s="163"/>
    </row>
    <row r="18" spans="1:105" s="148" customFormat="1" ht="44.65" customHeight="1">
      <c r="A18" s="156" t="s">
        <v>691</v>
      </c>
      <c r="B18" s="169" t="s">
        <v>659</v>
      </c>
      <c r="C18" s="170" t="s">
        <v>660</v>
      </c>
      <c r="D18" s="170" t="s">
        <v>661</v>
      </c>
      <c r="E18" s="170" t="s">
        <v>629</v>
      </c>
      <c r="F18" s="170"/>
      <c r="G18" s="171">
        <v>45275</v>
      </c>
      <c r="H18" s="171">
        <f t="shared" ref="H18:H24" si="16">IF(ISBLANK(G18),"",EDATE(G18,24))</f>
        <v>46006</v>
      </c>
      <c r="I18" s="171">
        <v>45298</v>
      </c>
      <c r="J18" s="171">
        <f t="shared" ref="J18:J24" si="17">IF(ISBLANK(I18),"",EDATE(I18,24))</f>
        <v>46029</v>
      </c>
      <c r="K18" s="172">
        <v>45141</v>
      </c>
      <c r="L18" s="171">
        <f t="shared" si="15"/>
        <v>45872</v>
      </c>
      <c r="M18" s="171" t="s">
        <v>232</v>
      </c>
      <c r="N18" s="171" t="s">
        <v>232</v>
      </c>
      <c r="O18" s="171" t="s">
        <v>232</v>
      </c>
      <c r="P18" s="171" t="s">
        <v>232</v>
      </c>
      <c r="Q18" s="171">
        <v>45239</v>
      </c>
      <c r="R18" s="171">
        <f>IF(ISBLANK(Q18),"",EDATE(Q18,24))</f>
        <v>45970</v>
      </c>
      <c r="S18" s="172">
        <v>45142</v>
      </c>
      <c r="T18" s="171">
        <f>IF(ISBLANK(S18),"",EDATE(S18,24))</f>
        <v>45873</v>
      </c>
      <c r="U18" s="171">
        <v>45329</v>
      </c>
      <c r="V18" s="171">
        <f t="shared" ref="V18:V24" si="18">IF(ISBLANK(U18),"",EDATE(U18,24))</f>
        <v>46060</v>
      </c>
      <c r="W18" s="171">
        <v>45262</v>
      </c>
      <c r="X18" s="171">
        <f t="shared" ref="X18:X24" si="19">IF(ISBLANK(W18),"",EDATE(W18,24))</f>
        <v>45993</v>
      </c>
      <c r="Y18" s="171">
        <v>45408</v>
      </c>
      <c r="Z18" s="172">
        <f>IF(ISBLANK(Y18),"",EDATE(Y18,12))</f>
        <v>45773</v>
      </c>
      <c r="AA18" s="171">
        <v>45407</v>
      </c>
      <c r="AB18" s="171">
        <f>IF(ISBLANK(AA18),"",EDATE(AA18,24))</f>
        <v>46137</v>
      </c>
      <c r="AC18" s="173">
        <v>45263</v>
      </c>
      <c r="AD18" s="171">
        <f>IF(ISBLANK(AC18),"",EDATE(AC18,24))</f>
        <v>45994</v>
      </c>
      <c r="AE18" s="173">
        <v>45263</v>
      </c>
      <c r="AF18" s="171">
        <f>IF(ISBLANK(AE18),"",EDATE(AE18,24))</f>
        <v>45994</v>
      </c>
      <c r="AG18" s="172" t="s">
        <v>232</v>
      </c>
      <c r="AH18" s="172" t="s">
        <v>232</v>
      </c>
      <c r="AI18" s="172"/>
      <c r="AJ18" s="172"/>
      <c r="AK18" s="172"/>
      <c r="AL18" s="172"/>
      <c r="AM18" s="172"/>
      <c r="AN18" s="172"/>
      <c r="AO18" s="172">
        <v>45147</v>
      </c>
      <c r="AP18" s="171" t="s">
        <v>232</v>
      </c>
      <c r="AQ18" s="172" t="s">
        <v>232</v>
      </c>
      <c r="AR18" s="172" t="s">
        <v>232</v>
      </c>
      <c r="AS18" s="171" t="s">
        <v>232</v>
      </c>
      <c r="AT18" s="171" t="s">
        <v>232</v>
      </c>
      <c r="AU18" s="171" t="s">
        <v>232</v>
      </c>
      <c r="AV18" s="161"/>
      <c r="AW18" s="161"/>
      <c r="AX18" s="161"/>
      <c r="AY18" s="161"/>
      <c r="AZ18" s="171">
        <v>45138</v>
      </c>
      <c r="BA18" s="171">
        <v>45137</v>
      </c>
      <c r="BB18" s="171">
        <v>45131</v>
      </c>
      <c r="BC18" s="171">
        <v>45399</v>
      </c>
      <c r="BD18" s="171">
        <v>45331</v>
      </c>
      <c r="BE18" s="171">
        <v>45324</v>
      </c>
      <c r="BF18" s="171">
        <v>45372</v>
      </c>
      <c r="BG18" s="171">
        <v>45376</v>
      </c>
      <c r="BH18" s="171">
        <v>45378</v>
      </c>
      <c r="BI18" s="174">
        <v>45483</v>
      </c>
      <c r="BJ18" s="161"/>
      <c r="BK18" s="161"/>
      <c r="BL18" s="162"/>
      <c r="BM18" s="163"/>
      <c r="BN18" s="163"/>
    </row>
    <row r="19" spans="1:105" s="148" customFormat="1" ht="46.15" customHeight="1">
      <c r="A19" s="156" t="s">
        <v>692</v>
      </c>
      <c r="B19" s="156" t="s">
        <v>693</v>
      </c>
      <c r="C19" s="158" t="s">
        <v>694</v>
      </c>
      <c r="D19" s="158" t="s">
        <v>695</v>
      </c>
      <c r="E19" s="158" t="s">
        <v>696</v>
      </c>
      <c r="F19" s="158"/>
      <c r="G19" s="159">
        <v>45360</v>
      </c>
      <c r="H19" s="159">
        <f t="shared" si="16"/>
        <v>46090</v>
      </c>
      <c r="I19" s="166">
        <v>45361</v>
      </c>
      <c r="J19" s="159">
        <f t="shared" si="17"/>
        <v>46091</v>
      </c>
      <c r="K19" s="175"/>
      <c r="L19" s="159" t="str">
        <f t="shared" si="15"/>
        <v/>
      </c>
      <c r="M19" s="166">
        <v>45352</v>
      </c>
      <c r="N19" s="159">
        <f t="shared" ref="N19:N24" si="20">IF(ISBLANK(M19),"",EDATE(M19,24))</f>
        <v>46082</v>
      </c>
      <c r="O19" s="159" t="s">
        <v>232</v>
      </c>
      <c r="P19" s="159" t="s">
        <v>232</v>
      </c>
      <c r="Q19" s="159" t="s">
        <v>232</v>
      </c>
      <c r="R19" s="159" t="s">
        <v>232</v>
      </c>
      <c r="S19" s="159" t="s">
        <v>232</v>
      </c>
      <c r="T19" s="159" t="s">
        <v>232</v>
      </c>
      <c r="U19" s="166">
        <v>45350</v>
      </c>
      <c r="V19" s="159">
        <f t="shared" si="18"/>
        <v>46081</v>
      </c>
      <c r="W19" s="159">
        <v>45388</v>
      </c>
      <c r="X19" s="159">
        <f t="shared" si="19"/>
        <v>46118</v>
      </c>
      <c r="Y19" s="159">
        <v>45401</v>
      </c>
      <c r="Z19" s="159">
        <f t="shared" ref="Z19:Z24" si="21">IF(ISBLANK(Y19),"",EDATE(Y19,24))</f>
        <v>46131</v>
      </c>
      <c r="AA19" s="159">
        <v>45408</v>
      </c>
      <c r="AB19" s="166">
        <f>IF(ISBLANK(AA19),"",EDATE(AA19,12))</f>
        <v>45773</v>
      </c>
      <c r="AC19" s="159">
        <v>45407</v>
      </c>
      <c r="AD19" s="159">
        <f>IF(ISBLANK(AC19),"",EDATE(AC19,24))</f>
        <v>46137</v>
      </c>
      <c r="AE19" s="159">
        <v>45354</v>
      </c>
      <c r="AF19" s="159">
        <f>IF(ISBLANK(AE19),"",EDATE(AE19,24))</f>
        <v>46084</v>
      </c>
      <c r="AG19" s="159">
        <v>45283</v>
      </c>
      <c r="AH19" s="159">
        <f>IF(ISBLANK(AG19),"",EDATE(AG19,24))</f>
        <v>46014</v>
      </c>
      <c r="AI19" s="159"/>
      <c r="AJ19" s="159"/>
      <c r="AK19" s="159"/>
      <c r="AL19" s="159"/>
      <c r="AM19" s="159"/>
      <c r="AN19" s="159"/>
      <c r="AO19" s="159">
        <v>44970</v>
      </c>
      <c r="AP19" s="159">
        <f>IF(ISBLANK(AO19),"",EDATE(AO19,24))</f>
        <v>45701</v>
      </c>
      <c r="AQ19" s="159"/>
      <c r="AR19" s="159">
        <v>45311</v>
      </c>
      <c r="AS19" s="159" t="s">
        <v>232</v>
      </c>
      <c r="AT19" s="159" t="s">
        <v>232</v>
      </c>
      <c r="AU19" s="159" t="s">
        <v>232</v>
      </c>
      <c r="AV19" s="159" t="s">
        <v>232</v>
      </c>
      <c r="AW19" s="159" t="s">
        <v>232</v>
      </c>
      <c r="AX19" s="161"/>
      <c r="AY19" s="161"/>
      <c r="AZ19" s="159">
        <v>45348</v>
      </c>
      <c r="BA19" s="159">
        <v>45351</v>
      </c>
      <c r="BB19" s="159">
        <v>45349</v>
      </c>
      <c r="BC19" s="159">
        <v>45399</v>
      </c>
      <c r="BD19" s="159">
        <v>45353</v>
      </c>
      <c r="BE19" s="159">
        <v>45429</v>
      </c>
      <c r="BF19" s="159">
        <v>45372</v>
      </c>
      <c r="BG19" s="159">
        <v>45376</v>
      </c>
      <c r="BH19" s="159">
        <v>45378</v>
      </c>
      <c r="BI19" s="176">
        <v>45483</v>
      </c>
      <c r="BJ19" s="161"/>
      <c r="BK19" s="161"/>
      <c r="BL19" s="162"/>
      <c r="BM19" s="163"/>
      <c r="BN19" s="163"/>
    </row>
    <row r="20" spans="1:105" s="148" customFormat="1" ht="35.25" customHeight="1">
      <c r="A20" s="156" t="s">
        <v>697</v>
      </c>
      <c r="B20" s="177" t="s">
        <v>698</v>
      </c>
      <c r="C20" s="158" t="s">
        <v>699</v>
      </c>
      <c r="D20" s="158" t="s">
        <v>700</v>
      </c>
      <c r="E20" s="158" t="s">
        <v>626</v>
      </c>
      <c r="F20" s="158"/>
      <c r="G20" s="176">
        <v>45393</v>
      </c>
      <c r="H20" s="176">
        <f t="shared" si="16"/>
        <v>46123</v>
      </c>
      <c r="I20" s="178">
        <v>45394</v>
      </c>
      <c r="J20" s="176">
        <f t="shared" si="17"/>
        <v>46124</v>
      </c>
      <c r="K20" s="178"/>
      <c r="L20" s="176" t="str">
        <f t="shared" si="15"/>
        <v/>
      </c>
      <c r="M20" s="178">
        <v>45352</v>
      </c>
      <c r="N20" s="176">
        <f t="shared" si="20"/>
        <v>46082</v>
      </c>
      <c r="O20" s="176">
        <v>45370</v>
      </c>
      <c r="P20" s="176">
        <f t="shared" ref="P20:P26" si="22">IF(ISBLANK(O20),"",EDATE(O20,24))</f>
        <v>46100</v>
      </c>
      <c r="Q20" s="176">
        <v>45370</v>
      </c>
      <c r="R20" s="176">
        <f t="shared" ref="R20:R26" si="23">IF(ISBLANK(Q20),"",EDATE(Q20,24))</f>
        <v>46100</v>
      </c>
      <c r="S20" s="176">
        <v>45433</v>
      </c>
      <c r="T20" s="176">
        <f t="shared" ref="T20:T26" si="24">IF(ISBLANK(S20),"",EDATE(S20,24))</f>
        <v>46163</v>
      </c>
      <c r="U20" s="178">
        <v>45350</v>
      </c>
      <c r="V20" s="176">
        <f t="shared" si="18"/>
        <v>46081</v>
      </c>
      <c r="W20" s="176">
        <v>45388</v>
      </c>
      <c r="X20" s="176">
        <f t="shared" si="19"/>
        <v>46118</v>
      </c>
      <c r="Y20" s="176">
        <v>45401</v>
      </c>
      <c r="Z20" s="176">
        <f t="shared" si="21"/>
        <v>46131</v>
      </c>
      <c r="AA20" s="176">
        <v>45408</v>
      </c>
      <c r="AB20" s="176">
        <f>IF(ISBLANK(AA20),"",EDATE(AA20,24))</f>
        <v>46138</v>
      </c>
      <c r="AC20" s="176">
        <v>45408</v>
      </c>
      <c r="AD20" s="176">
        <f>IF(ISBLANK(AC20),"",EDATE(AC20,24))</f>
        <v>46138</v>
      </c>
      <c r="AE20" s="179" t="s">
        <v>232</v>
      </c>
      <c r="AF20" s="179" t="s">
        <v>232</v>
      </c>
      <c r="AG20" s="179" t="s">
        <v>232</v>
      </c>
      <c r="AH20" s="179" t="s">
        <v>232</v>
      </c>
      <c r="AI20" s="179"/>
      <c r="AJ20" s="179"/>
      <c r="AK20" s="179"/>
      <c r="AL20" s="179"/>
      <c r="AM20" s="179"/>
      <c r="AN20" s="179"/>
      <c r="AO20" s="179" t="s">
        <v>232</v>
      </c>
      <c r="AP20" s="179" t="s">
        <v>232</v>
      </c>
      <c r="AQ20" s="179" t="s">
        <v>232</v>
      </c>
      <c r="AR20" s="179" t="s">
        <v>232</v>
      </c>
      <c r="AS20" s="179" t="s">
        <v>232</v>
      </c>
      <c r="AT20" s="179" t="s">
        <v>232</v>
      </c>
      <c r="AU20" s="179" t="s">
        <v>232</v>
      </c>
      <c r="AV20" s="179" t="s">
        <v>232</v>
      </c>
      <c r="AW20" s="179" t="s">
        <v>232</v>
      </c>
      <c r="AX20" s="161"/>
      <c r="AY20" s="161"/>
      <c r="AZ20" s="176">
        <v>45466</v>
      </c>
      <c r="BA20" s="176">
        <v>45477</v>
      </c>
      <c r="BB20" s="176">
        <v>45465</v>
      </c>
      <c r="BC20" s="176">
        <v>45399</v>
      </c>
      <c r="BD20" s="176">
        <v>45459</v>
      </c>
      <c r="BE20" s="176">
        <v>45474</v>
      </c>
      <c r="BF20" s="176">
        <v>45372</v>
      </c>
      <c r="BG20" s="176">
        <v>45376</v>
      </c>
      <c r="BH20" s="176">
        <v>45378</v>
      </c>
      <c r="BI20" s="176">
        <v>45483</v>
      </c>
      <c r="BJ20" s="161"/>
      <c r="BK20" s="161"/>
      <c r="BL20" s="162"/>
      <c r="BM20" s="163"/>
      <c r="BN20" s="163"/>
    </row>
    <row r="21" spans="1:105" s="148" customFormat="1" ht="42.6" customHeight="1">
      <c r="A21" s="156" t="s">
        <v>701</v>
      </c>
      <c r="B21" s="156" t="s">
        <v>655</v>
      </c>
      <c r="C21" s="158" t="s">
        <v>656</v>
      </c>
      <c r="D21" s="158" t="s">
        <v>657</v>
      </c>
      <c r="E21" s="158" t="s">
        <v>239</v>
      </c>
      <c r="F21" s="158"/>
      <c r="G21" s="176">
        <v>45275</v>
      </c>
      <c r="H21" s="176">
        <f t="shared" si="16"/>
        <v>46006</v>
      </c>
      <c r="I21" s="176">
        <v>45298</v>
      </c>
      <c r="J21" s="176">
        <f t="shared" si="17"/>
        <v>46029</v>
      </c>
      <c r="K21" s="178">
        <v>45116</v>
      </c>
      <c r="L21" s="176">
        <f t="shared" si="15"/>
        <v>45847</v>
      </c>
      <c r="M21" s="178">
        <v>45079</v>
      </c>
      <c r="N21" s="176">
        <f t="shared" si="20"/>
        <v>45810</v>
      </c>
      <c r="O21" s="176">
        <v>45143</v>
      </c>
      <c r="P21" s="176">
        <f t="shared" si="22"/>
        <v>45874</v>
      </c>
      <c r="Q21" s="176">
        <v>45143</v>
      </c>
      <c r="R21" s="176">
        <f t="shared" si="23"/>
        <v>45874</v>
      </c>
      <c r="S21" s="176">
        <v>45239</v>
      </c>
      <c r="T21" s="176">
        <f t="shared" si="24"/>
        <v>45970</v>
      </c>
      <c r="U21" s="178">
        <v>45083</v>
      </c>
      <c r="V21" s="176">
        <f t="shared" si="18"/>
        <v>45814</v>
      </c>
      <c r="W21" s="176">
        <v>45329</v>
      </c>
      <c r="X21" s="176">
        <f t="shared" si="19"/>
        <v>46060</v>
      </c>
      <c r="Y21" s="176">
        <v>45262</v>
      </c>
      <c r="Z21" s="176">
        <f t="shared" si="21"/>
        <v>45993</v>
      </c>
      <c r="AA21" s="176">
        <v>45408</v>
      </c>
      <c r="AB21" s="178">
        <f>IF(ISBLANK(AA21),"",EDATE(AA21,12))</f>
        <v>45773</v>
      </c>
      <c r="AC21" s="176">
        <v>45407</v>
      </c>
      <c r="AD21" s="176">
        <f>IF(ISBLANK(AC21),"",EDATE(AC21,24))</f>
        <v>46137</v>
      </c>
      <c r="AE21" s="176" t="s">
        <v>232</v>
      </c>
      <c r="AF21" s="176" t="s">
        <v>232</v>
      </c>
      <c r="AG21" s="176" t="s">
        <v>232</v>
      </c>
      <c r="AH21" s="176" t="s">
        <v>232</v>
      </c>
      <c r="AI21" s="176"/>
      <c r="AJ21" s="176"/>
      <c r="AK21" s="176"/>
      <c r="AL21" s="176"/>
      <c r="AM21" s="176"/>
      <c r="AN21" s="176"/>
      <c r="AO21" s="176">
        <v>45323</v>
      </c>
      <c r="AP21" s="176">
        <f>IF(ISBLANK(AO21),"",EDATE(AO21,24))</f>
        <v>46054</v>
      </c>
      <c r="AQ21" s="176" t="s">
        <v>232</v>
      </c>
      <c r="AR21" s="176" t="s">
        <v>232</v>
      </c>
      <c r="AS21" s="176" t="s">
        <v>232</v>
      </c>
      <c r="AT21" s="176" t="s">
        <v>232</v>
      </c>
      <c r="AU21" s="176" t="s">
        <v>232</v>
      </c>
      <c r="AV21" s="176" t="s">
        <v>232</v>
      </c>
      <c r="AW21" s="176" t="s">
        <v>232</v>
      </c>
      <c r="AX21" s="176" t="s">
        <v>232</v>
      </c>
      <c r="AY21" s="176">
        <v>45144</v>
      </c>
      <c r="AZ21" s="176">
        <v>45145</v>
      </c>
      <c r="BA21" s="176">
        <v>45465</v>
      </c>
      <c r="BB21" s="176">
        <v>45280</v>
      </c>
      <c r="BC21" s="176">
        <v>45331</v>
      </c>
      <c r="BD21" s="176">
        <v>45324</v>
      </c>
      <c r="BE21" s="176">
        <v>45372</v>
      </c>
      <c r="BF21" s="176">
        <v>45376</v>
      </c>
      <c r="BG21" s="176">
        <v>45378</v>
      </c>
      <c r="BH21" s="176">
        <v>45483</v>
      </c>
      <c r="BI21" s="176"/>
      <c r="BJ21" s="176">
        <v>45532</v>
      </c>
      <c r="BK21" s="176"/>
      <c r="BL21" s="162"/>
      <c r="BM21" s="163"/>
      <c r="BN21" s="163"/>
    </row>
    <row r="22" spans="1:105" s="148" customFormat="1" ht="31.9" customHeight="1">
      <c r="A22" s="156" t="s">
        <v>702</v>
      </c>
      <c r="B22" s="156" t="s">
        <v>703</v>
      </c>
      <c r="C22" s="158" t="s">
        <v>704</v>
      </c>
      <c r="D22" s="158" t="s">
        <v>705</v>
      </c>
      <c r="E22" s="158" t="s">
        <v>706</v>
      </c>
      <c r="F22" s="158"/>
      <c r="G22" s="178">
        <v>45572</v>
      </c>
      <c r="H22" s="159">
        <f t="shared" si="16"/>
        <v>46302</v>
      </c>
      <c r="I22" s="178">
        <v>45573</v>
      </c>
      <c r="J22" s="176">
        <f t="shared" si="17"/>
        <v>46303</v>
      </c>
      <c r="K22" s="175"/>
      <c r="L22" s="159" t="str">
        <f t="shared" si="15"/>
        <v/>
      </c>
      <c r="M22" s="178">
        <v>45574</v>
      </c>
      <c r="N22" s="176">
        <f t="shared" si="20"/>
        <v>46304</v>
      </c>
      <c r="O22" s="159">
        <v>45567</v>
      </c>
      <c r="P22" s="180">
        <f t="shared" si="22"/>
        <v>46297</v>
      </c>
      <c r="Q22" s="181">
        <v>45568</v>
      </c>
      <c r="R22" s="180">
        <f t="shared" si="23"/>
        <v>46298</v>
      </c>
      <c r="S22" s="182">
        <v>45581</v>
      </c>
      <c r="T22" s="159">
        <f t="shared" si="24"/>
        <v>46311</v>
      </c>
      <c r="U22" s="178">
        <v>45569</v>
      </c>
      <c r="V22" s="159">
        <f t="shared" si="18"/>
        <v>46299</v>
      </c>
      <c r="W22" s="159">
        <v>45577</v>
      </c>
      <c r="X22" s="159">
        <f t="shared" si="19"/>
        <v>46307</v>
      </c>
      <c r="Y22" s="159">
        <v>45579</v>
      </c>
      <c r="Z22" s="183">
        <f t="shared" si="21"/>
        <v>46309</v>
      </c>
      <c r="AA22" s="184">
        <v>45561</v>
      </c>
      <c r="AB22" s="185">
        <f>Table13[[#This Row],[Special Operations (RVSM, PBN/RNP, CAT II/III)]]+365</f>
        <v>46113</v>
      </c>
      <c r="AC22" s="185">
        <v>45560</v>
      </c>
      <c r="AD22" s="181">
        <f>Table13[[#This Row],[Special Operations (EDTO/ETOPS)]]+730</f>
        <v>46762</v>
      </c>
      <c r="AE22" s="159" t="s">
        <v>232</v>
      </c>
      <c r="AF22" s="159" t="s">
        <v>232</v>
      </c>
      <c r="AG22" s="159" t="s">
        <v>232</v>
      </c>
      <c r="AH22" s="159" t="s">
        <v>232</v>
      </c>
      <c r="AI22" s="159"/>
      <c r="AJ22" s="159"/>
      <c r="AK22" s="159"/>
      <c r="AL22" s="159"/>
      <c r="AM22" s="159"/>
      <c r="AN22" s="159"/>
      <c r="AO22" s="159" t="s">
        <v>232</v>
      </c>
      <c r="AP22" s="159" t="s">
        <v>232</v>
      </c>
      <c r="AQ22" s="159">
        <v>45575</v>
      </c>
      <c r="AR22" s="186" t="s">
        <v>232</v>
      </c>
      <c r="AS22" s="159" t="s">
        <v>232</v>
      </c>
      <c r="AT22" s="159" t="s">
        <v>232</v>
      </c>
      <c r="AU22" s="159" t="s">
        <v>232</v>
      </c>
      <c r="AV22" s="159" t="s">
        <v>232</v>
      </c>
      <c r="AW22" s="159" t="s">
        <v>232</v>
      </c>
      <c r="AX22" s="159" t="s">
        <v>232</v>
      </c>
      <c r="AY22" s="159" t="s">
        <v>232</v>
      </c>
      <c r="AZ22" s="159"/>
      <c r="BA22" s="159"/>
      <c r="BB22" s="159"/>
      <c r="BC22" s="159"/>
      <c r="BD22" s="159"/>
      <c r="BE22" s="159"/>
      <c r="BF22" s="159"/>
      <c r="BG22" s="159"/>
      <c r="BH22" s="159"/>
      <c r="BI22" s="186"/>
      <c r="BJ22" s="186"/>
      <c r="BK22" s="186"/>
      <c r="BL22" s="183" t="s">
        <v>232</v>
      </c>
      <c r="BM22" s="181">
        <v>45548</v>
      </c>
      <c r="BN22" s="181" t="s">
        <v>232</v>
      </c>
    </row>
    <row r="23" spans="1:105" s="148" customFormat="1" ht="15" customHeight="1">
      <c r="A23" s="156" t="s">
        <v>707</v>
      </c>
      <c r="B23" s="156" t="s">
        <v>708</v>
      </c>
      <c r="C23" s="158" t="s">
        <v>709</v>
      </c>
      <c r="D23" s="158" t="s">
        <v>710</v>
      </c>
      <c r="E23" s="158" t="s">
        <v>626</v>
      </c>
      <c r="F23" s="310"/>
      <c r="G23" s="187">
        <v>45393</v>
      </c>
      <c r="H23" s="180">
        <f t="shared" si="16"/>
        <v>46123</v>
      </c>
      <c r="I23" s="187">
        <v>45394</v>
      </c>
      <c r="J23" s="180">
        <f t="shared" si="17"/>
        <v>46124</v>
      </c>
      <c r="K23" s="187">
        <v>44977</v>
      </c>
      <c r="L23" s="180">
        <f t="shared" si="15"/>
        <v>45708</v>
      </c>
      <c r="M23" s="187">
        <v>45154</v>
      </c>
      <c r="N23" s="180">
        <f t="shared" si="20"/>
        <v>45885</v>
      </c>
      <c r="O23" s="180">
        <v>45155</v>
      </c>
      <c r="P23" s="180">
        <f t="shared" si="22"/>
        <v>45886</v>
      </c>
      <c r="Q23" s="180">
        <v>45155</v>
      </c>
      <c r="R23" s="180">
        <f t="shared" si="23"/>
        <v>45886</v>
      </c>
      <c r="S23" s="180">
        <v>45267</v>
      </c>
      <c r="T23" s="180">
        <f t="shared" si="24"/>
        <v>45998</v>
      </c>
      <c r="U23" s="187">
        <v>45261</v>
      </c>
      <c r="V23" s="180">
        <f t="shared" si="18"/>
        <v>45992</v>
      </c>
      <c r="W23" s="180">
        <v>45388</v>
      </c>
      <c r="X23" s="180">
        <f t="shared" si="19"/>
        <v>46118</v>
      </c>
      <c r="Y23" s="180">
        <v>45262</v>
      </c>
      <c r="Z23" s="180">
        <f t="shared" si="21"/>
        <v>45993</v>
      </c>
      <c r="AA23" s="180">
        <v>45408</v>
      </c>
      <c r="AB23" s="180">
        <f t="shared" ref="AB23:AB28" si="25">IF(ISBLANK(AA23),"",EDATE(AA23,24))</f>
        <v>46138</v>
      </c>
      <c r="AC23" s="180">
        <v>45206</v>
      </c>
      <c r="AD23" s="180">
        <f t="shared" ref="AD23:AD28" si="26">IF(ISBLANK(AC23),"",EDATE(AC23,24))</f>
        <v>45937</v>
      </c>
      <c r="AE23" s="188" t="s">
        <v>232</v>
      </c>
      <c r="AF23" s="188" t="s">
        <v>232</v>
      </c>
      <c r="AG23" s="188" t="s">
        <v>232</v>
      </c>
      <c r="AH23" s="188" t="s">
        <v>232</v>
      </c>
      <c r="AI23" s="188"/>
      <c r="AJ23" s="188"/>
      <c r="AK23" s="188"/>
      <c r="AL23" s="188"/>
      <c r="AM23" s="188"/>
      <c r="AN23" s="188"/>
      <c r="AO23" s="188" t="s">
        <v>232</v>
      </c>
      <c r="AP23" s="188" t="s">
        <v>232</v>
      </c>
      <c r="AQ23" s="180">
        <v>45147</v>
      </c>
      <c r="AR23" s="180">
        <f>IF(ISBLANK(AQ23),"",EDATE(AQ23,24))</f>
        <v>45878</v>
      </c>
      <c r="AS23" s="188" t="s">
        <v>232</v>
      </c>
      <c r="AT23" s="188" t="s">
        <v>232</v>
      </c>
      <c r="AU23" s="188" t="s">
        <v>232</v>
      </c>
      <c r="AV23" s="188" t="s">
        <v>232</v>
      </c>
      <c r="AW23" s="188" t="s">
        <v>232</v>
      </c>
      <c r="AX23" s="188" t="s">
        <v>232</v>
      </c>
      <c r="AY23" s="188" t="s">
        <v>232</v>
      </c>
      <c r="AZ23" s="180">
        <v>45466</v>
      </c>
      <c r="BA23" s="180">
        <v>45243</v>
      </c>
      <c r="BB23" s="180">
        <v>45240</v>
      </c>
      <c r="BC23" s="180">
        <v>45399</v>
      </c>
      <c r="BD23" s="180">
        <v>45331</v>
      </c>
      <c r="BE23" s="180">
        <v>45324</v>
      </c>
      <c r="BF23" s="180">
        <v>45372</v>
      </c>
      <c r="BG23" s="180">
        <v>45376</v>
      </c>
      <c r="BH23" s="180">
        <v>45378</v>
      </c>
      <c r="BI23" s="180">
        <v>45483</v>
      </c>
      <c r="BJ23" s="180">
        <v>45526</v>
      </c>
      <c r="BK23" s="180">
        <v>45532</v>
      </c>
      <c r="BL23" s="180">
        <v>45540</v>
      </c>
      <c r="BM23" s="180">
        <v>45548</v>
      </c>
      <c r="BN23" s="180">
        <v>45559</v>
      </c>
    </row>
    <row r="24" spans="1:105" s="148" customFormat="1" ht="15" customHeight="1">
      <c r="A24" s="156" t="s">
        <v>711</v>
      </c>
      <c r="B24" s="189" t="s">
        <v>712</v>
      </c>
      <c r="C24" s="158" t="s">
        <v>713</v>
      </c>
      <c r="D24" s="158" t="s">
        <v>714</v>
      </c>
      <c r="E24" s="190" t="s">
        <v>715</v>
      </c>
      <c r="F24" s="310"/>
      <c r="G24" s="187">
        <v>45450</v>
      </c>
      <c r="H24" s="180">
        <f t="shared" si="16"/>
        <v>46180</v>
      </c>
      <c r="I24" s="187">
        <v>45457</v>
      </c>
      <c r="J24" s="180">
        <f t="shared" si="17"/>
        <v>46187</v>
      </c>
      <c r="K24" s="187"/>
      <c r="L24" s="187" t="str">
        <f t="shared" si="15"/>
        <v/>
      </c>
      <c r="M24" s="187">
        <v>45481</v>
      </c>
      <c r="N24" s="191">
        <f t="shared" si="20"/>
        <v>46211</v>
      </c>
      <c r="O24" s="187">
        <v>45454</v>
      </c>
      <c r="P24" s="180">
        <f t="shared" si="22"/>
        <v>46184</v>
      </c>
      <c r="Q24" s="187">
        <v>45454</v>
      </c>
      <c r="R24" s="180">
        <f t="shared" si="23"/>
        <v>46184</v>
      </c>
      <c r="S24" s="187">
        <v>45449</v>
      </c>
      <c r="T24" s="159">
        <f t="shared" si="24"/>
        <v>46179</v>
      </c>
      <c r="U24" s="187">
        <v>45447</v>
      </c>
      <c r="V24" s="180">
        <f t="shared" si="18"/>
        <v>46177</v>
      </c>
      <c r="W24" s="192">
        <v>45460</v>
      </c>
      <c r="X24" s="180">
        <f t="shared" si="19"/>
        <v>46190</v>
      </c>
      <c r="Y24" s="180">
        <v>45462</v>
      </c>
      <c r="Z24" s="180">
        <f t="shared" si="21"/>
        <v>46192</v>
      </c>
      <c r="AA24" s="180">
        <v>45468</v>
      </c>
      <c r="AB24" s="180">
        <f t="shared" si="25"/>
        <v>46198</v>
      </c>
      <c r="AC24" s="180">
        <v>45467</v>
      </c>
      <c r="AD24" s="180">
        <f t="shared" si="26"/>
        <v>46197</v>
      </c>
      <c r="AE24" s="180" t="s">
        <v>232</v>
      </c>
      <c r="AF24" s="180" t="s">
        <v>232</v>
      </c>
      <c r="AG24" s="180" t="s">
        <v>232</v>
      </c>
      <c r="AH24" s="180" t="s">
        <v>232</v>
      </c>
      <c r="AI24" s="180"/>
      <c r="AJ24" s="180"/>
      <c r="AK24" s="180"/>
      <c r="AL24" s="180"/>
      <c r="AM24" s="180"/>
      <c r="AN24" s="180"/>
      <c r="AO24" s="180" t="s">
        <v>232</v>
      </c>
      <c r="AP24" s="180" t="s">
        <v>232</v>
      </c>
      <c r="AQ24" s="180" t="s">
        <v>232</v>
      </c>
      <c r="AR24" s="193" t="s">
        <v>232</v>
      </c>
      <c r="AS24" s="180" t="s">
        <v>232</v>
      </c>
      <c r="AT24" s="180" t="s">
        <v>232</v>
      </c>
      <c r="AU24" s="180" t="s">
        <v>232</v>
      </c>
      <c r="AV24" s="180" t="s">
        <v>232</v>
      </c>
      <c r="AW24" s="180" t="s">
        <v>232</v>
      </c>
      <c r="AX24" s="180" t="s">
        <v>232</v>
      </c>
      <c r="AY24" s="180" t="s">
        <v>232</v>
      </c>
      <c r="AZ24" s="180">
        <v>45466</v>
      </c>
      <c r="BA24" s="180">
        <v>45477</v>
      </c>
      <c r="BB24" s="180">
        <v>45465</v>
      </c>
      <c r="BC24" s="180">
        <v>45465</v>
      </c>
      <c r="BD24" s="180">
        <v>45459</v>
      </c>
      <c r="BE24" s="180">
        <v>45474</v>
      </c>
      <c r="BF24" s="180">
        <v>45480</v>
      </c>
      <c r="BG24" s="180">
        <v>45480</v>
      </c>
      <c r="BH24" s="180">
        <v>45476</v>
      </c>
      <c r="BI24" s="180">
        <v>45483</v>
      </c>
      <c r="BJ24" s="180" t="s">
        <v>232</v>
      </c>
      <c r="BK24" s="180" t="s">
        <v>232</v>
      </c>
      <c r="BL24" s="180">
        <v>45540</v>
      </c>
      <c r="BM24" s="180" t="s">
        <v>232</v>
      </c>
      <c r="BN24" s="180" t="s">
        <v>232</v>
      </c>
    </row>
    <row r="25" spans="1:105" s="148" customFormat="1" ht="30" customHeight="1">
      <c r="A25" s="156" t="s">
        <v>716</v>
      </c>
      <c r="B25" s="194" t="s">
        <v>717</v>
      </c>
      <c r="C25" s="195" t="s">
        <v>718</v>
      </c>
      <c r="D25" s="195" t="s">
        <v>719</v>
      </c>
      <c r="E25" s="190" t="s">
        <v>720</v>
      </c>
      <c r="F25" s="310"/>
      <c r="G25" s="187">
        <v>45393</v>
      </c>
      <c r="H25" s="180">
        <f>IF(ISBLANK(G25),"",EDATE(G25,24))</f>
        <v>46123</v>
      </c>
      <c r="I25" s="187">
        <v>45394</v>
      </c>
      <c r="J25" s="180">
        <f>IF(ISBLANK(I25),"",EDATE(I25,24))</f>
        <v>46124</v>
      </c>
      <c r="K25" s="187">
        <v>44719</v>
      </c>
      <c r="L25" s="196">
        <f>IF(ISBLANK(K25),"",EDATE(K25,24))</f>
        <v>45450</v>
      </c>
      <c r="M25" s="187">
        <v>45386</v>
      </c>
      <c r="N25" s="180">
        <f>IF(ISBLANK(M25),"",EDATE(M25,24))</f>
        <v>46116</v>
      </c>
      <c r="O25" s="180">
        <v>45426</v>
      </c>
      <c r="P25" s="180">
        <f t="shared" si="22"/>
        <v>46156</v>
      </c>
      <c r="Q25" s="180">
        <v>45426</v>
      </c>
      <c r="R25" s="180">
        <f t="shared" si="23"/>
        <v>46156</v>
      </c>
      <c r="S25" s="180">
        <v>45433</v>
      </c>
      <c r="T25" s="180">
        <f t="shared" si="24"/>
        <v>46163</v>
      </c>
      <c r="U25" s="188" t="s">
        <v>232</v>
      </c>
      <c r="V25" s="188" t="s">
        <v>232</v>
      </c>
      <c r="W25" s="188" t="s">
        <v>232</v>
      </c>
      <c r="X25" s="188" t="s">
        <v>232</v>
      </c>
      <c r="Y25" s="188" t="s">
        <v>232</v>
      </c>
      <c r="Z25" s="188" t="s">
        <v>232</v>
      </c>
      <c r="AA25" s="187">
        <v>45385</v>
      </c>
      <c r="AB25" s="180">
        <f t="shared" si="25"/>
        <v>46115</v>
      </c>
      <c r="AC25" s="180">
        <v>45388</v>
      </c>
      <c r="AD25" s="180">
        <f t="shared" si="26"/>
        <v>46118</v>
      </c>
      <c r="AE25" s="180">
        <v>45401</v>
      </c>
      <c r="AF25" s="180">
        <f>IF(ISBLANK(AE25),"",EDATE(AE25,24))</f>
        <v>46131</v>
      </c>
      <c r="AG25" s="180">
        <v>45408</v>
      </c>
      <c r="AH25" s="187">
        <f>IF(ISBLANK(AG25),"",EDATE(AG25,12))</f>
        <v>45773</v>
      </c>
      <c r="AI25" s="180">
        <v>45407</v>
      </c>
      <c r="AJ25" s="180">
        <f>IF(ISBLANK(AI25),"",EDATE(AI25,24))</f>
        <v>46137</v>
      </c>
      <c r="AK25" s="188" t="s">
        <v>232</v>
      </c>
      <c r="AL25" s="188" t="s">
        <v>232</v>
      </c>
      <c r="AM25" s="188" t="s">
        <v>232</v>
      </c>
      <c r="AN25" s="188" t="s">
        <v>232</v>
      </c>
      <c r="AO25" s="188" t="s">
        <v>232</v>
      </c>
      <c r="AP25" s="188" t="s">
        <v>232</v>
      </c>
      <c r="AQ25" s="188" t="s">
        <v>232</v>
      </c>
      <c r="AR25" s="188" t="s">
        <v>232</v>
      </c>
      <c r="AS25" s="188" t="s">
        <v>232</v>
      </c>
      <c r="AT25" s="188" t="s">
        <v>232</v>
      </c>
      <c r="AU25" s="188" t="s">
        <v>232</v>
      </c>
      <c r="AV25" s="188" t="s">
        <v>232</v>
      </c>
      <c r="AW25" s="180">
        <v>45456</v>
      </c>
      <c r="AX25" s="180">
        <f>IF(ISBLANK(AW25),"",EDATE(AW25,24))</f>
        <v>46186</v>
      </c>
      <c r="AY25" s="180" t="s">
        <v>232</v>
      </c>
      <c r="AZ25" s="180">
        <v>43783</v>
      </c>
      <c r="BA25" s="180">
        <f>IF(ISBLANK(AZ25),"",EDATE(AZ25,24))</f>
        <v>44514</v>
      </c>
      <c r="BB25" s="180" t="s">
        <v>232</v>
      </c>
      <c r="BC25" s="180" t="s">
        <v>232</v>
      </c>
      <c r="BD25" s="180" t="s">
        <v>232</v>
      </c>
      <c r="BE25" s="180" t="s">
        <v>232</v>
      </c>
      <c r="BF25" s="180">
        <v>45392</v>
      </c>
      <c r="BG25" s="180">
        <v>45477</v>
      </c>
      <c r="BH25" s="180">
        <v>45391</v>
      </c>
      <c r="BI25" s="180">
        <v>45399</v>
      </c>
      <c r="BJ25" s="180">
        <v>45402</v>
      </c>
      <c r="BK25" s="180">
        <v>45474</v>
      </c>
      <c r="BL25" s="180">
        <v>45480</v>
      </c>
      <c r="BM25" s="180">
        <v>45376</v>
      </c>
      <c r="BN25" s="180">
        <v>45378</v>
      </c>
      <c r="BO25" s="180">
        <v>45483</v>
      </c>
      <c r="BP25" s="180">
        <v>45524</v>
      </c>
      <c r="BQ25" s="180">
        <v>45532</v>
      </c>
      <c r="BR25" s="180">
        <v>45540</v>
      </c>
      <c r="BS25" s="180">
        <v>45546</v>
      </c>
      <c r="BT25" s="197" t="s">
        <v>232</v>
      </c>
      <c r="BU25" s="197" t="s">
        <v>232</v>
      </c>
    </row>
    <row r="26" spans="1:105" s="148" customFormat="1" ht="30" customHeight="1">
      <c r="A26" s="156" t="s">
        <v>721</v>
      </c>
      <c r="B26" s="194" t="s">
        <v>722</v>
      </c>
      <c r="C26" s="195" t="s">
        <v>723</v>
      </c>
      <c r="D26" s="195" t="s">
        <v>724</v>
      </c>
      <c r="E26" s="190" t="s">
        <v>273</v>
      </c>
      <c r="F26" s="310"/>
      <c r="G26" s="180">
        <v>45360</v>
      </c>
      <c r="H26" s="180">
        <f>IF(ISBLANK(G26),"",EDATE(G26,24))</f>
        <v>46090</v>
      </c>
      <c r="I26" s="187">
        <v>45361</v>
      </c>
      <c r="J26" s="180">
        <f>IF(ISBLANK(I26),"",EDATE(I26,24))</f>
        <v>46091</v>
      </c>
      <c r="K26" s="187"/>
      <c r="L26" s="180" t="str">
        <f>IF(ISBLANK(K26),"",EDATE(K26,24))</f>
        <v/>
      </c>
      <c r="M26" s="187">
        <v>45481</v>
      </c>
      <c r="N26" s="180">
        <f>IF(ISBLANK(M26),"",EDATE(M26,24))</f>
        <v>46211</v>
      </c>
      <c r="O26" s="180">
        <v>45370</v>
      </c>
      <c r="P26" s="180">
        <f t="shared" si="22"/>
        <v>46100</v>
      </c>
      <c r="Q26" s="180">
        <v>45370</v>
      </c>
      <c r="R26" s="180">
        <f t="shared" si="23"/>
        <v>46100</v>
      </c>
      <c r="S26" s="180">
        <v>45433</v>
      </c>
      <c r="T26" s="180">
        <f t="shared" si="24"/>
        <v>46163</v>
      </c>
      <c r="U26" s="188" t="s">
        <v>232</v>
      </c>
      <c r="V26" s="188" t="s">
        <v>232</v>
      </c>
      <c r="W26" s="188" t="s">
        <v>232</v>
      </c>
      <c r="X26" s="188" t="s">
        <v>232</v>
      </c>
      <c r="Y26" s="188" t="s">
        <v>232</v>
      </c>
      <c r="Z26" s="188" t="s">
        <v>232</v>
      </c>
      <c r="AA26" s="187">
        <v>45350</v>
      </c>
      <c r="AB26" s="180">
        <f t="shared" si="25"/>
        <v>46081</v>
      </c>
      <c r="AC26" s="180">
        <v>45388</v>
      </c>
      <c r="AD26" s="180">
        <f t="shared" si="26"/>
        <v>46118</v>
      </c>
      <c r="AE26" s="180">
        <v>45401</v>
      </c>
      <c r="AF26" s="180">
        <f>IF(ISBLANK(AE26),"",EDATE(AE26,24))</f>
        <v>46131</v>
      </c>
      <c r="AG26" s="180">
        <v>45408</v>
      </c>
      <c r="AH26" s="180">
        <f>IF(ISBLANK(AG26),"",EDATE(AG26,24))</f>
        <v>46138</v>
      </c>
      <c r="AI26" s="180">
        <v>45407</v>
      </c>
      <c r="AJ26" s="180">
        <f>IF(ISBLANK(AI26),"",EDATE(AI26,24))</f>
        <v>46137</v>
      </c>
      <c r="AK26" s="188" t="s">
        <v>232</v>
      </c>
      <c r="AL26" s="188" t="s">
        <v>232</v>
      </c>
      <c r="AM26" s="188" t="s">
        <v>232</v>
      </c>
      <c r="AN26" s="188" t="s">
        <v>232</v>
      </c>
      <c r="AO26" s="188" t="s">
        <v>232</v>
      </c>
      <c r="AP26" s="188" t="s">
        <v>232</v>
      </c>
      <c r="AQ26" s="188" t="s">
        <v>232</v>
      </c>
      <c r="AR26" s="188" t="s">
        <v>232</v>
      </c>
      <c r="AS26" s="188" t="s">
        <v>232</v>
      </c>
      <c r="AT26" s="188" t="s">
        <v>232</v>
      </c>
      <c r="AU26" s="188" t="s">
        <v>232</v>
      </c>
      <c r="AV26" s="188" t="s">
        <v>232</v>
      </c>
      <c r="AW26" s="180">
        <v>45456</v>
      </c>
      <c r="AX26" s="180">
        <f>IF(ISBLANK(AW26),"",EDATE(AW26,24))</f>
        <v>46186</v>
      </c>
      <c r="AY26" s="188" t="s">
        <v>232</v>
      </c>
      <c r="AZ26" s="188" t="s">
        <v>232</v>
      </c>
      <c r="BA26" s="188" t="s">
        <v>232</v>
      </c>
      <c r="BB26" s="180">
        <v>45417</v>
      </c>
      <c r="BC26" s="188" t="s">
        <v>232</v>
      </c>
      <c r="BD26" s="188" t="s">
        <v>232</v>
      </c>
      <c r="BE26" s="188" t="s">
        <v>232</v>
      </c>
      <c r="BF26" s="180">
        <v>45466</v>
      </c>
      <c r="BG26" s="180">
        <v>45477</v>
      </c>
      <c r="BH26" s="180">
        <v>45465</v>
      </c>
      <c r="BI26" s="180">
        <v>45399</v>
      </c>
      <c r="BJ26" s="180">
        <v>45459</v>
      </c>
      <c r="BK26" s="180">
        <v>45474</v>
      </c>
      <c r="BL26" s="180">
        <v>45480</v>
      </c>
      <c r="BM26" s="180">
        <v>45376</v>
      </c>
      <c r="BN26" s="180">
        <v>45378</v>
      </c>
      <c r="BO26" s="180">
        <v>45483</v>
      </c>
      <c r="BP26" s="180">
        <v>45524</v>
      </c>
      <c r="BQ26" s="180">
        <v>45532</v>
      </c>
      <c r="BR26" s="180">
        <v>45540</v>
      </c>
      <c r="BS26" s="180">
        <v>45548</v>
      </c>
      <c r="BT26" s="180">
        <v>45559</v>
      </c>
      <c r="BV26" s="180"/>
    </row>
    <row r="27" spans="1:105" s="148" customFormat="1" ht="15" customHeight="1">
      <c r="A27" s="156" t="s">
        <v>725</v>
      </c>
      <c r="B27" s="198" t="s">
        <v>726</v>
      </c>
      <c r="C27" s="199" t="s">
        <v>727</v>
      </c>
      <c r="D27" s="199" t="s">
        <v>728</v>
      </c>
      <c r="E27" s="200" t="s">
        <v>729</v>
      </c>
      <c r="F27" s="310"/>
      <c r="G27" s="180">
        <v>45360</v>
      </c>
      <c r="H27" s="180">
        <f>IF(ISBLANK(G27),"",EDATE(G27,24))</f>
        <v>46090</v>
      </c>
      <c r="I27" s="180">
        <v>45298</v>
      </c>
      <c r="J27" s="180">
        <f>IF(ISBLANK(I27),"",EDATE(I27,24))</f>
        <v>46029</v>
      </c>
      <c r="K27" s="187"/>
      <c r="L27" s="180" t="str">
        <f>IF(ISBLANK(K27),"",EDATE(K27,24))</f>
        <v/>
      </c>
      <c r="M27" s="188" t="s">
        <v>232</v>
      </c>
      <c r="N27" s="188" t="s">
        <v>232</v>
      </c>
      <c r="O27" s="188" t="s">
        <v>232</v>
      </c>
      <c r="P27" s="188" t="s">
        <v>232</v>
      </c>
      <c r="Q27" s="188" t="s">
        <v>232</v>
      </c>
      <c r="R27" s="188" t="s">
        <v>232</v>
      </c>
      <c r="S27" s="188" t="s">
        <v>232</v>
      </c>
      <c r="T27" s="188" t="s">
        <v>232</v>
      </c>
      <c r="U27" s="188" t="s">
        <v>232</v>
      </c>
      <c r="V27" s="188" t="s">
        <v>232</v>
      </c>
      <c r="W27" s="188" t="s">
        <v>232</v>
      </c>
      <c r="X27" s="188" t="s">
        <v>232</v>
      </c>
      <c r="Y27" s="188" t="s">
        <v>232</v>
      </c>
      <c r="Z27" s="188" t="s">
        <v>232</v>
      </c>
      <c r="AA27" s="187">
        <v>45350</v>
      </c>
      <c r="AB27" s="180">
        <f t="shared" si="25"/>
        <v>46081</v>
      </c>
      <c r="AC27" s="180">
        <v>45097</v>
      </c>
      <c r="AD27" s="180">
        <f t="shared" si="26"/>
        <v>45828</v>
      </c>
      <c r="AE27" s="180">
        <v>45127</v>
      </c>
      <c r="AF27" s="188" t="s">
        <v>232</v>
      </c>
      <c r="AG27" s="188" t="s">
        <v>232</v>
      </c>
      <c r="AH27" s="188" t="s">
        <v>232</v>
      </c>
      <c r="AI27" s="188" t="s">
        <v>232</v>
      </c>
      <c r="AJ27" s="188" t="s">
        <v>232</v>
      </c>
      <c r="AK27" s="188" t="s">
        <v>232</v>
      </c>
      <c r="AL27" s="188" t="s">
        <v>232</v>
      </c>
      <c r="AM27" s="188" t="s">
        <v>232</v>
      </c>
      <c r="AN27" s="188" t="s">
        <v>232</v>
      </c>
      <c r="AO27" s="188" t="s">
        <v>232</v>
      </c>
      <c r="AP27" s="188" t="s">
        <v>232</v>
      </c>
      <c r="AQ27" s="188" t="s">
        <v>232</v>
      </c>
      <c r="AR27" s="188" t="s">
        <v>232</v>
      </c>
      <c r="AS27" s="188" t="s">
        <v>232</v>
      </c>
      <c r="AT27" s="188" t="s">
        <v>232</v>
      </c>
      <c r="AU27" s="188" t="s">
        <v>232</v>
      </c>
      <c r="AV27" s="188" t="s">
        <v>232</v>
      </c>
      <c r="AW27" s="188" t="s">
        <v>232</v>
      </c>
      <c r="AX27" s="188" t="s">
        <v>232</v>
      </c>
      <c r="AY27" s="188" t="s">
        <v>232</v>
      </c>
      <c r="AZ27" s="188" t="s">
        <v>232</v>
      </c>
      <c r="BA27" s="188" t="s">
        <v>232</v>
      </c>
      <c r="BB27" s="188" t="s">
        <v>232</v>
      </c>
      <c r="BC27" s="188" t="s">
        <v>232</v>
      </c>
      <c r="BD27" s="188" t="s">
        <v>232</v>
      </c>
      <c r="BE27" s="188" t="s">
        <v>232</v>
      </c>
      <c r="BF27" s="188" t="s">
        <v>232</v>
      </c>
      <c r="BG27" s="188" t="s">
        <v>232</v>
      </c>
      <c r="BH27" s="188" t="s">
        <v>232</v>
      </c>
      <c r="BI27" s="188" t="s">
        <v>232</v>
      </c>
      <c r="BJ27" s="188" t="s">
        <v>232</v>
      </c>
      <c r="BK27" s="188" t="s">
        <v>232</v>
      </c>
      <c r="BL27" s="188" t="s">
        <v>232</v>
      </c>
      <c r="BM27" s="188" t="s">
        <v>232</v>
      </c>
      <c r="BN27" s="188" t="s">
        <v>232</v>
      </c>
      <c r="BO27" s="188" t="s">
        <v>232</v>
      </c>
      <c r="BP27" s="188" t="s">
        <v>232</v>
      </c>
      <c r="BQ27" s="188" t="s">
        <v>232</v>
      </c>
      <c r="BR27" s="188" t="s">
        <v>232</v>
      </c>
      <c r="BS27" s="188" t="s">
        <v>232</v>
      </c>
      <c r="BT27" s="188" t="s">
        <v>232</v>
      </c>
      <c r="BU27" s="188" t="s">
        <v>232</v>
      </c>
      <c r="BV27" s="180">
        <v>45639</v>
      </c>
    </row>
    <row r="28" spans="1:105" s="148" customFormat="1" ht="15" customHeight="1">
      <c r="A28" s="156" t="s">
        <v>730</v>
      </c>
      <c r="B28" s="189" t="s">
        <v>731</v>
      </c>
      <c r="C28" s="158" t="s">
        <v>732</v>
      </c>
      <c r="D28" s="158" t="s">
        <v>733</v>
      </c>
      <c r="E28" s="190" t="s">
        <v>734</v>
      </c>
      <c r="F28" s="190"/>
      <c r="G28" s="178">
        <v>45572</v>
      </c>
      <c r="H28" s="159">
        <f>IF(ISBLANK(G28),"",EDATE(G28,24))</f>
        <v>46302</v>
      </c>
      <c r="I28" s="178">
        <v>45573</v>
      </c>
      <c r="J28" s="176">
        <f>IF(ISBLANK(I28),"",EDATE(I28,24))</f>
        <v>46303</v>
      </c>
      <c r="K28" s="175"/>
      <c r="L28" s="159" t="str">
        <f>IF(ISBLANK(K28),"",EDATE(K28,24))</f>
        <v/>
      </c>
      <c r="M28" s="178">
        <v>45574</v>
      </c>
      <c r="N28" s="176">
        <f>IF(ISBLANK(M28),"",EDATE(M28,24))</f>
        <v>46304</v>
      </c>
      <c r="O28" s="159">
        <v>45567</v>
      </c>
      <c r="P28" s="180">
        <f>IF(ISBLANK(O28),"",EDATE(O28,24))</f>
        <v>46297</v>
      </c>
      <c r="Q28" s="181">
        <v>45568</v>
      </c>
      <c r="R28" s="180">
        <f>IF(ISBLANK(Q28),"",EDATE(Q28,24))</f>
        <v>46298</v>
      </c>
      <c r="S28" s="182">
        <v>45581</v>
      </c>
      <c r="T28" s="183">
        <f>IF(ISBLANK(S28),"",EDATE(S28,24))</f>
        <v>46311</v>
      </c>
      <c r="U28" s="180">
        <v>45611</v>
      </c>
      <c r="V28" s="180">
        <f>IF(ISBLANK(U28),"",EDATE(U28,24))</f>
        <v>46341</v>
      </c>
      <c r="W28" s="187">
        <v>45615</v>
      </c>
      <c r="X28" s="180">
        <f>IF(ISBLANK(W28),"",EDATE(W28,24))</f>
        <v>46345</v>
      </c>
      <c r="Y28" s="187">
        <v>45604</v>
      </c>
      <c r="Z28" s="180">
        <f>IF(ISBLANK(Y28),"",EDATE(Y28,24))</f>
        <v>46334</v>
      </c>
      <c r="AA28" s="201">
        <v>45569</v>
      </c>
      <c r="AB28" s="159">
        <f t="shared" si="25"/>
        <v>46299</v>
      </c>
      <c r="AC28" s="159">
        <v>45577</v>
      </c>
      <c r="AD28" s="159">
        <f t="shared" si="26"/>
        <v>46307</v>
      </c>
      <c r="AE28" s="159">
        <v>45579</v>
      </c>
      <c r="AF28" s="183">
        <f>IF(ISBLANK(AE28),"",EDATE(AE28,24))</f>
        <v>46309</v>
      </c>
      <c r="AG28" s="202">
        <v>45616</v>
      </c>
      <c r="AH28" s="185">
        <f>Table13[[#This Row],[Special Operations (RVSM, PBN/RNP, CAT II/III)]]+365</f>
        <v>46113</v>
      </c>
      <c r="AI28" s="203">
        <v>45617</v>
      </c>
      <c r="AJ28" s="181">
        <f>Table13[[#This Row],[Special Operations (EDTO/ETOPS)]]+730</f>
        <v>46290</v>
      </c>
      <c r="AK28" s="160" t="s">
        <v>232</v>
      </c>
      <c r="AL28" s="160" t="s">
        <v>232</v>
      </c>
      <c r="AM28" s="160" t="s">
        <v>232</v>
      </c>
      <c r="AN28" s="160" t="s">
        <v>232</v>
      </c>
      <c r="AO28" s="160" t="s">
        <v>232</v>
      </c>
      <c r="AP28" s="160" t="s">
        <v>232</v>
      </c>
      <c r="AQ28" s="188" t="s">
        <v>232</v>
      </c>
      <c r="AR28" s="188" t="s">
        <v>232</v>
      </c>
      <c r="AS28" s="188" t="s">
        <v>232</v>
      </c>
      <c r="AT28" s="188" t="s">
        <v>232</v>
      </c>
      <c r="AU28" s="188" t="s">
        <v>232</v>
      </c>
      <c r="AV28" s="160" t="s">
        <v>232</v>
      </c>
      <c r="AW28" s="159">
        <v>45575</v>
      </c>
      <c r="AX28" s="180">
        <f>IF(ISBLANK(AW28),"",EDATE(AW28,24))</f>
        <v>46305</v>
      </c>
      <c r="AY28" s="159" t="s">
        <v>232</v>
      </c>
      <c r="AZ28" s="159" t="s">
        <v>232</v>
      </c>
      <c r="BA28" s="159" t="s">
        <v>232</v>
      </c>
      <c r="BB28" s="159" t="s">
        <v>232</v>
      </c>
      <c r="BC28" s="159" t="s">
        <v>232</v>
      </c>
      <c r="BD28" s="159" t="s">
        <v>232</v>
      </c>
      <c r="BE28" s="159" t="s">
        <v>232</v>
      </c>
      <c r="BF28" s="159">
        <v>45583</v>
      </c>
      <c r="BG28" s="159">
        <v>45594</v>
      </c>
      <c r="BH28" s="159">
        <v>45584</v>
      </c>
      <c r="BI28" s="159">
        <v>45584</v>
      </c>
      <c r="BJ28" s="159">
        <v>45582</v>
      </c>
      <c r="BK28" s="159">
        <v>45588</v>
      </c>
      <c r="BL28" s="159">
        <v>45593</v>
      </c>
      <c r="BM28" s="159">
        <v>45593</v>
      </c>
      <c r="BN28" s="159">
        <v>45590</v>
      </c>
      <c r="BO28" s="204" t="s">
        <v>232</v>
      </c>
      <c r="BP28" s="180">
        <v>45619</v>
      </c>
      <c r="BQ28" s="180">
        <v>45622</v>
      </c>
      <c r="BR28" s="159">
        <v>45627</v>
      </c>
      <c r="BS28" s="159">
        <v>45602</v>
      </c>
      <c r="BT28" s="159">
        <v>45609</v>
      </c>
      <c r="BU28" s="180" t="s">
        <v>232</v>
      </c>
      <c r="BV28" s="180">
        <v>45639</v>
      </c>
      <c r="BW28" s="159"/>
    </row>
    <row r="29" spans="1:105" s="148" customFormat="1" ht="15" customHeight="1">
      <c r="A29" s="156" t="s">
        <v>735</v>
      </c>
      <c r="B29" s="211" t="s">
        <v>736</v>
      </c>
      <c r="C29" s="212" t="s">
        <v>737</v>
      </c>
      <c r="D29" s="231" t="s">
        <v>253</v>
      </c>
      <c r="E29" s="232">
        <v>45748</v>
      </c>
      <c r="F29" s="232"/>
      <c r="G29" s="233">
        <v>45734</v>
      </c>
      <c r="H29" s="234">
        <f>IF(ISBLANK(G29),"",EDATE(G29,24))</f>
        <v>46464</v>
      </c>
      <c r="I29" s="213">
        <v>45735</v>
      </c>
      <c r="J29" s="216">
        <f>IF(ISBLANK(I29),"",EDATE(I29,24))</f>
        <v>46465</v>
      </c>
      <c r="K29" s="206"/>
      <c r="L29" s="205" t="str">
        <f>IF(ISBLANK(K29),"",EDATE(K29,24))</f>
        <v/>
      </c>
      <c r="M29" s="215">
        <v>45736</v>
      </c>
      <c r="N29" s="217">
        <f>IF(ISBLANK(M29),"",EDATE(M29,24))</f>
        <v>46466</v>
      </c>
      <c r="O29" s="218" t="s">
        <v>232</v>
      </c>
      <c r="P29" s="218" t="s">
        <v>232</v>
      </c>
      <c r="Q29" s="218" t="s">
        <v>232</v>
      </c>
      <c r="R29" s="218" t="s">
        <v>232</v>
      </c>
      <c r="S29" s="218" t="s">
        <v>232</v>
      </c>
      <c r="T29" s="218" t="s">
        <v>232</v>
      </c>
      <c r="U29" s="218" t="s">
        <v>232</v>
      </c>
      <c r="V29" s="218" t="s">
        <v>232</v>
      </c>
      <c r="W29" s="218" t="s">
        <v>232</v>
      </c>
      <c r="X29" s="218" t="s">
        <v>232</v>
      </c>
      <c r="Y29" s="218" t="s">
        <v>232</v>
      </c>
      <c r="Z29" s="219" t="s">
        <v>232</v>
      </c>
      <c r="AA29" s="220"/>
      <c r="AB29" s="220"/>
      <c r="AC29" s="220"/>
      <c r="AD29" s="220"/>
      <c r="AE29" s="220"/>
      <c r="AF29" s="220"/>
      <c r="AG29" s="221">
        <v>45733</v>
      </c>
      <c r="AH29" s="218">
        <f>IF(ISBLANK(AG29),"",EDATE(AG29,24))</f>
        <v>46463</v>
      </c>
      <c r="AI29" s="218">
        <v>45741</v>
      </c>
      <c r="AJ29" s="218">
        <f>IF(ISBLANK(AI29),"",EDATE(AI29,24))</f>
        <v>46471</v>
      </c>
      <c r="AK29" s="218">
        <v>45744</v>
      </c>
      <c r="AL29" s="218">
        <f>IF(ISBLANK(AK29),"",EDATE(AK29,24))</f>
        <v>46474</v>
      </c>
      <c r="AM29" s="218">
        <v>45748</v>
      </c>
      <c r="AN29" s="218">
        <f>IF(ISBLANK(AM29),"",EDATE(AM29,12))</f>
        <v>46113</v>
      </c>
      <c r="AO29" s="218">
        <v>45747</v>
      </c>
      <c r="AP29" s="218">
        <f>IF(ISBLANK(AO29),"",EDATE(AO29,24))</f>
        <v>46477</v>
      </c>
      <c r="AQ29" s="222">
        <v>45733</v>
      </c>
      <c r="AR29" s="223">
        <f>IF(ISBLANK(AQ29),"",EDATE(AQ29,24))</f>
        <v>46463</v>
      </c>
      <c r="AS29" s="239" t="s">
        <v>232</v>
      </c>
      <c r="AT29" s="91" t="s">
        <v>232</v>
      </c>
      <c r="AU29" s="224" t="s">
        <v>232</v>
      </c>
      <c r="AV29" s="224" t="s">
        <v>232</v>
      </c>
      <c r="AW29" s="224" t="s">
        <v>232</v>
      </c>
      <c r="AX29" s="224" t="s">
        <v>232</v>
      </c>
      <c r="AY29" s="224" t="s">
        <v>232</v>
      </c>
      <c r="AZ29" s="224" t="s">
        <v>232</v>
      </c>
      <c r="BA29" s="225"/>
      <c r="BB29" s="226" t="s">
        <v>232</v>
      </c>
      <c r="BC29" s="226" t="s">
        <v>232</v>
      </c>
      <c r="BD29" s="226" t="s">
        <v>232</v>
      </c>
      <c r="BE29" s="226" t="s">
        <v>232</v>
      </c>
      <c r="BF29" s="224" t="s">
        <v>232</v>
      </c>
      <c r="BG29" s="226" t="s">
        <v>232</v>
      </c>
      <c r="BH29" s="226" t="s">
        <v>232</v>
      </c>
      <c r="BI29" s="227">
        <v>45737</v>
      </c>
      <c r="BJ29" s="228">
        <f>IF(ISBLANK(BI29),"",EDATE(BI29,24))</f>
        <v>46467</v>
      </c>
      <c r="BK29" s="225" t="s">
        <v>232</v>
      </c>
      <c r="BL29" s="225" t="s">
        <v>232</v>
      </c>
      <c r="BM29" s="214"/>
      <c r="BN29" s="229" t="s">
        <v>232</v>
      </c>
      <c r="BO29" s="225" t="s">
        <v>232</v>
      </c>
      <c r="BP29" s="225" t="s">
        <v>232</v>
      </c>
      <c r="BQ29" s="225" t="s">
        <v>232</v>
      </c>
      <c r="BR29" s="229">
        <v>45751</v>
      </c>
      <c r="BS29" s="229">
        <v>45758</v>
      </c>
      <c r="BT29" s="229">
        <v>45754</v>
      </c>
      <c r="BU29" s="229">
        <v>45754</v>
      </c>
      <c r="BV29" s="229">
        <v>45750</v>
      </c>
      <c r="BW29" s="214" t="s">
        <v>232</v>
      </c>
      <c r="BX29" s="225">
        <v>45749</v>
      </c>
      <c r="BY29" s="225">
        <v>45749</v>
      </c>
      <c r="BZ29" s="225">
        <v>45756</v>
      </c>
      <c r="CA29" s="208" t="s">
        <v>232</v>
      </c>
      <c r="CB29" s="230" t="s">
        <v>232</v>
      </c>
      <c r="CC29" s="230" t="s">
        <v>232</v>
      </c>
      <c r="CD29" s="214" t="s">
        <v>232</v>
      </c>
      <c r="CE29" s="214" t="s">
        <v>232</v>
      </c>
      <c r="CF29" s="214" t="s">
        <v>232</v>
      </c>
      <c r="CG29" s="208" t="s">
        <v>232</v>
      </c>
      <c r="CH29" s="225" t="s">
        <v>232</v>
      </c>
      <c r="CI29" s="214"/>
      <c r="CJ29" s="214"/>
      <c r="CK29" s="20">
        <v>45742</v>
      </c>
      <c r="CL29" s="237"/>
      <c r="CM29" s="235" t="s">
        <v>738</v>
      </c>
    </row>
    <row r="30" spans="1:105" ht="43.5" customHeight="1">
      <c r="A30" s="156" t="s">
        <v>739</v>
      </c>
      <c r="B30" s="269" t="s">
        <v>740</v>
      </c>
      <c r="C30" s="270" t="s">
        <v>741</v>
      </c>
      <c r="D30" s="270" t="s">
        <v>742</v>
      </c>
      <c r="E30" s="271" t="s">
        <v>743</v>
      </c>
      <c r="F30" s="272" t="s">
        <v>744</v>
      </c>
      <c r="G30" s="207"/>
      <c r="H30" s="273" t="s">
        <v>232</v>
      </c>
      <c r="I30" s="273" t="s">
        <v>232</v>
      </c>
      <c r="J30" s="274">
        <v>45826</v>
      </c>
      <c r="K30" s="275">
        <v>46556</v>
      </c>
      <c r="L30" s="12"/>
      <c r="M30" s="10" t="str">
        <f>IF(ISBLANK(L30),"",EDATE(L30,24))</f>
        <v/>
      </c>
      <c r="N30" s="275">
        <v>45827</v>
      </c>
      <c r="O30" s="275">
        <v>46557</v>
      </c>
      <c r="P30" s="275">
        <v>45819</v>
      </c>
      <c r="Q30" s="275">
        <v>46549</v>
      </c>
      <c r="R30" s="275">
        <v>45819</v>
      </c>
      <c r="S30" s="275">
        <v>46549</v>
      </c>
      <c r="T30" s="276" t="s">
        <v>232</v>
      </c>
      <c r="U30" s="276" t="s">
        <v>232</v>
      </c>
      <c r="V30" s="277">
        <v>45825</v>
      </c>
      <c r="W30" s="277">
        <v>46555</v>
      </c>
      <c r="X30" s="276" t="s">
        <v>232</v>
      </c>
      <c r="Y30" s="276" t="s">
        <v>232</v>
      </c>
      <c r="Z30" s="277">
        <v>45834</v>
      </c>
      <c r="AA30" s="284">
        <v>46564</v>
      </c>
      <c r="AB30" s="276" t="s">
        <v>232</v>
      </c>
      <c r="AC30" s="276" t="s">
        <v>232</v>
      </c>
      <c r="AD30" s="276" t="s">
        <v>232</v>
      </c>
      <c r="AE30" s="276" t="s">
        <v>232</v>
      </c>
      <c r="AF30" s="276" t="s">
        <v>232</v>
      </c>
      <c r="AG30" s="276" t="s">
        <v>232</v>
      </c>
      <c r="AH30" s="278">
        <v>45821</v>
      </c>
      <c r="AI30" s="279">
        <v>46551</v>
      </c>
      <c r="AJ30" s="280" t="s">
        <v>232</v>
      </c>
      <c r="AK30" s="280" t="s">
        <v>232</v>
      </c>
      <c r="AL30" s="280" t="s">
        <v>232</v>
      </c>
      <c r="AM30" s="280" t="s">
        <v>232</v>
      </c>
      <c r="AN30" s="280" t="s">
        <v>232</v>
      </c>
      <c r="AO30" s="280" t="s">
        <v>232</v>
      </c>
      <c r="AP30" s="280" t="s">
        <v>232</v>
      </c>
      <c r="AQ30" s="280" t="s">
        <v>232</v>
      </c>
      <c r="AR30" s="280" t="s">
        <v>232</v>
      </c>
      <c r="AS30" s="280" t="s">
        <v>232</v>
      </c>
      <c r="AT30" s="280" t="s">
        <v>232</v>
      </c>
      <c r="AU30" s="280" t="s">
        <v>232</v>
      </c>
      <c r="AV30" s="20"/>
      <c r="AW30" s="20"/>
      <c r="AX30" s="20"/>
      <c r="AY30" s="20"/>
      <c r="AZ30" s="224" t="s">
        <v>232</v>
      </c>
      <c r="BA30" s="224" t="s">
        <v>232</v>
      </c>
      <c r="BB30" s="279" t="s">
        <v>232</v>
      </c>
      <c r="BC30" s="279" t="s">
        <v>232</v>
      </c>
      <c r="BD30" s="20"/>
      <c r="BE30" s="20"/>
      <c r="BF30" s="20"/>
      <c r="BG30" s="20"/>
      <c r="BH30" s="279"/>
      <c r="BI30" s="279"/>
      <c r="BJ30" s="279"/>
      <c r="BK30" s="279"/>
      <c r="BL30" s="279"/>
      <c r="BM30" s="279"/>
      <c r="BN30" s="281"/>
      <c r="BO30" s="282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75" t="s">
        <v>232</v>
      </c>
      <c r="CE30" s="20"/>
      <c r="CF30" s="20"/>
      <c r="CG30" s="282"/>
      <c r="CH30" s="282"/>
      <c r="CI30" s="283" t="s">
        <v>232</v>
      </c>
      <c r="CJ30" s="283" t="s">
        <v>232</v>
      </c>
      <c r="CK30" s="283" t="s">
        <v>232</v>
      </c>
      <c r="CL30" s="283" t="s">
        <v>232</v>
      </c>
      <c r="CM30" s="283" t="s">
        <v>232</v>
      </c>
      <c r="CN30" s="283" t="s">
        <v>232</v>
      </c>
      <c r="CO30" s="283" t="s">
        <v>232</v>
      </c>
      <c r="CP30" s="283" t="s">
        <v>232</v>
      </c>
      <c r="CQ30" s="283" t="s">
        <v>232</v>
      </c>
      <c r="CR30" s="283" t="s">
        <v>232</v>
      </c>
      <c r="CS30" s="283" t="s">
        <v>232</v>
      </c>
      <c r="CT30" s="283" t="s">
        <v>232</v>
      </c>
      <c r="CU30" s="283" t="s">
        <v>232</v>
      </c>
    </row>
    <row r="31" spans="1:105" s="148" customFormat="1" ht="15" customHeight="1">
      <c r="A31" s="156" t="s">
        <v>745</v>
      </c>
      <c r="B31" s="297" t="s">
        <v>746</v>
      </c>
      <c r="C31" s="298" t="s">
        <v>747</v>
      </c>
      <c r="D31" s="298" t="s">
        <v>748</v>
      </c>
      <c r="E31" s="299" t="s">
        <v>749</v>
      </c>
      <c r="F31" s="300" t="s">
        <v>232</v>
      </c>
      <c r="G31" s="229" t="s">
        <v>232</v>
      </c>
      <c r="H31" s="229" t="s">
        <v>232</v>
      </c>
      <c r="I31" s="229" t="s">
        <v>232</v>
      </c>
      <c r="J31" s="229" t="s">
        <v>232</v>
      </c>
      <c r="K31" s="229" t="s">
        <v>232</v>
      </c>
      <c r="L31" s="229" t="s">
        <v>232</v>
      </c>
      <c r="M31" s="229" t="s">
        <v>232</v>
      </c>
      <c r="N31" s="229" t="s">
        <v>232</v>
      </c>
      <c r="O31" s="229" t="s">
        <v>232</v>
      </c>
      <c r="P31" s="229" t="s">
        <v>232</v>
      </c>
      <c r="Q31" s="301">
        <v>45888</v>
      </c>
      <c r="R31" s="301">
        <v>46618</v>
      </c>
      <c r="S31" s="229" t="s">
        <v>232</v>
      </c>
      <c r="T31" s="229" t="s">
        <v>232</v>
      </c>
      <c r="U31" s="229" t="s">
        <v>232</v>
      </c>
      <c r="V31" s="229" t="s">
        <v>232</v>
      </c>
      <c r="W31" s="229" t="s">
        <v>232</v>
      </c>
      <c r="X31" s="229" t="s">
        <v>232</v>
      </c>
      <c r="Y31" s="229" t="s">
        <v>232</v>
      </c>
      <c r="Z31" s="229" t="s">
        <v>232</v>
      </c>
      <c r="AA31" s="229" t="s">
        <v>232</v>
      </c>
      <c r="AB31" s="229" t="s">
        <v>232</v>
      </c>
      <c r="AC31" s="229" t="s">
        <v>232</v>
      </c>
      <c r="AD31" s="229" t="s">
        <v>232</v>
      </c>
      <c r="AE31" s="229" t="s">
        <v>232</v>
      </c>
      <c r="AF31" s="229" t="s">
        <v>232</v>
      </c>
      <c r="AG31" s="229" t="s">
        <v>232</v>
      </c>
      <c r="AH31" s="229" t="s">
        <v>232</v>
      </c>
      <c r="AI31" s="229" t="s">
        <v>232</v>
      </c>
      <c r="AJ31" s="229" t="s">
        <v>232</v>
      </c>
      <c r="AK31" s="229" t="s">
        <v>232</v>
      </c>
      <c r="AL31" s="229" t="s">
        <v>232</v>
      </c>
      <c r="AM31" s="229" t="s">
        <v>232</v>
      </c>
      <c r="AN31" s="229" t="s">
        <v>232</v>
      </c>
      <c r="AO31" s="229" t="s">
        <v>232</v>
      </c>
      <c r="AP31" s="229" t="s">
        <v>232</v>
      </c>
      <c r="AQ31" s="229" t="s">
        <v>232</v>
      </c>
      <c r="AR31" s="229" t="s">
        <v>232</v>
      </c>
      <c r="AS31" s="229" t="s">
        <v>232</v>
      </c>
      <c r="AT31" s="229" t="s">
        <v>232</v>
      </c>
      <c r="AU31" s="229" t="s">
        <v>232</v>
      </c>
      <c r="AV31" s="229" t="s">
        <v>232</v>
      </c>
      <c r="AW31" s="229" t="s">
        <v>232</v>
      </c>
      <c r="AX31" s="229" t="s">
        <v>232</v>
      </c>
      <c r="AY31" s="229" t="s">
        <v>232</v>
      </c>
      <c r="AZ31" s="229" t="s">
        <v>232</v>
      </c>
      <c r="BA31" s="229" t="s">
        <v>232</v>
      </c>
      <c r="BB31" s="229" t="s">
        <v>232</v>
      </c>
      <c r="BC31" s="229" t="s">
        <v>232</v>
      </c>
      <c r="BD31" s="229" t="s">
        <v>232</v>
      </c>
      <c r="BE31" s="229" t="s">
        <v>232</v>
      </c>
      <c r="BF31" s="229" t="s">
        <v>232</v>
      </c>
      <c r="BG31" s="229" t="s">
        <v>232</v>
      </c>
      <c r="BH31" s="229" t="s">
        <v>232</v>
      </c>
      <c r="BI31" s="229" t="s">
        <v>232</v>
      </c>
      <c r="BJ31" s="229" t="s">
        <v>232</v>
      </c>
      <c r="BK31" s="229" t="s">
        <v>232</v>
      </c>
      <c r="BL31" s="229" t="s">
        <v>232</v>
      </c>
      <c r="BM31" s="229" t="s">
        <v>232</v>
      </c>
      <c r="BN31" s="229" t="s">
        <v>232</v>
      </c>
      <c r="BO31" s="229" t="s">
        <v>232</v>
      </c>
      <c r="BP31" s="229" t="s">
        <v>232</v>
      </c>
      <c r="BQ31" s="229" t="s">
        <v>232</v>
      </c>
      <c r="BR31" s="229" t="s">
        <v>232</v>
      </c>
      <c r="BS31" s="229" t="s">
        <v>232</v>
      </c>
      <c r="BT31" s="229" t="s">
        <v>232</v>
      </c>
      <c r="BU31" s="229" t="s">
        <v>232</v>
      </c>
      <c r="BV31" s="229" t="s">
        <v>232</v>
      </c>
      <c r="BW31" s="302">
        <v>45910</v>
      </c>
      <c r="BX31" s="229" t="s">
        <v>232</v>
      </c>
      <c r="BY31" s="229" t="s">
        <v>232</v>
      </c>
      <c r="BZ31" s="229" t="s">
        <v>232</v>
      </c>
      <c r="CA31" s="229" t="s">
        <v>232</v>
      </c>
      <c r="CB31" s="229" t="s">
        <v>232</v>
      </c>
      <c r="CC31" s="229" t="s">
        <v>232</v>
      </c>
      <c r="CD31" s="229" t="s">
        <v>232</v>
      </c>
      <c r="CE31" s="229" t="s">
        <v>232</v>
      </c>
      <c r="CF31" s="229" t="s">
        <v>232</v>
      </c>
      <c r="CG31" s="229" t="s">
        <v>232</v>
      </c>
      <c r="CH31" s="229" t="s">
        <v>232</v>
      </c>
      <c r="CI31" s="229" t="s">
        <v>232</v>
      </c>
      <c r="CJ31" s="229" t="s">
        <v>232</v>
      </c>
      <c r="CK31" s="229" t="s">
        <v>232</v>
      </c>
      <c r="CL31" s="229" t="s">
        <v>232</v>
      </c>
      <c r="CM31" s="229" t="s">
        <v>232</v>
      </c>
      <c r="CN31" s="229" t="s">
        <v>232</v>
      </c>
      <c r="CO31" s="229" t="s">
        <v>232</v>
      </c>
      <c r="CP31" s="229" t="s">
        <v>232</v>
      </c>
      <c r="CQ31" s="229" t="s">
        <v>232</v>
      </c>
      <c r="CR31" s="229" t="s">
        <v>232</v>
      </c>
      <c r="CS31" s="303"/>
      <c r="CT31" s="303"/>
      <c r="CU31" s="303"/>
      <c r="CX31" s="303"/>
      <c r="CY31" s="303"/>
      <c r="CZ31" s="303"/>
      <c r="DA31" s="296"/>
    </row>
    <row r="32" spans="1:105" ht="50.25" customHeight="1">
      <c r="A32" s="156" t="s">
        <v>750</v>
      </c>
      <c r="B32" s="33" t="s">
        <v>751</v>
      </c>
      <c r="C32" s="7" t="s">
        <v>752</v>
      </c>
      <c r="D32" s="7" t="s">
        <v>753</v>
      </c>
      <c r="E32" s="9" t="s">
        <v>754</v>
      </c>
      <c r="F32" s="286" t="s">
        <v>232</v>
      </c>
      <c r="G32" s="98">
        <v>45360</v>
      </c>
      <c r="H32" s="90">
        <f t="shared" ref="H32:H37" si="27">IF(ISBLANK(G32),"",EDATE(G32,24))</f>
        <v>46090</v>
      </c>
      <c r="I32" s="98">
        <v>45361</v>
      </c>
      <c r="J32" s="90">
        <f>IF(ISBLANK(I32),"",EDATE(I32,24))</f>
        <v>46091</v>
      </c>
      <c r="K32" s="98">
        <v>45352</v>
      </c>
      <c r="L32" s="90">
        <f>IF(ISBLANK(K32),"",EDATE(K32,24))</f>
        <v>46082</v>
      </c>
      <c r="M32" s="90">
        <v>45370</v>
      </c>
      <c r="N32" s="90">
        <f>IF(ISBLANK(M32),"",EDATE(M32,24))</f>
        <v>46100</v>
      </c>
      <c r="O32" s="90">
        <v>45370</v>
      </c>
      <c r="P32" s="90">
        <f>IF(ISBLANK(O32),"",EDATE(O32,24))</f>
        <v>46100</v>
      </c>
      <c r="Q32" s="90">
        <v>45433</v>
      </c>
      <c r="R32" s="90">
        <f t="shared" ref="R32:R37" si="28">IF(ISBLANK(Q32),"",EDATE(Q32,24))</f>
        <v>46163</v>
      </c>
      <c r="S32" s="90">
        <v>45611</v>
      </c>
      <c r="T32" s="90">
        <f>IF(ISBLANK(S32),"",EDATE(S32,24))</f>
        <v>46341</v>
      </c>
      <c r="U32" s="98">
        <v>45615</v>
      </c>
      <c r="V32" s="90">
        <f>IF(ISBLANK(U32),"",EDATE(U32,24))</f>
        <v>46345</v>
      </c>
      <c r="W32" s="98">
        <v>45604</v>
      </c>
      <c r="X32" s="90">
        <f>IF(ISBLANK(W32),"",EDATE(W32,24))</f>
        <v>46334</v>
      </c>
      <c r="Y32" s="285" t="s">
        <v>232</v>
      </c>
      <c r="Z32" s="285" t="s">
        <v>232</v>
      </c>
      <c r="AA32" s="98">
        <v>45819</v>
      </c>
      <c r="AB32" s="90">
        <f>IF(ISBLANK(AA32),"",EDATE(AA32,24))</f>
        <v>46549</v>
      </c>
      <c r="AC32" s="98">
        <v>45795</v>
      </c>
      <c r="AD32" s="90">
        <f>IF(ISBLANK(AC32),"",EDATE(AC32,24))</f>
        <v>46525</v>
      </c>
      <c r="AE32" s="98">
        <v>45350</v>
      </c>
      <c r="AF32" s="90">
        <f t="shared" ref="AF32:AF37" si="29">IF(ISBLANK(AE32),"",EDATE(AE32,24))</f>
        <v>46081</v>
      </c>
      <c r="AG32" s="90">
        <v>45388</v>
      </c>
      <c r="AH32" s="90">
        <f>IF(ISBLANK(AG32),"",EDATE(AG32,24))</f>
        <v>46118</v>
      </c>
      <c r="AI32" s="90">
        <v>45401</v>
      </c>
      <c r="AJ32" s="90">
        <f t="shared" ref="AJ32:AJ37" si="30">IF(ISBLANK(AI32),"",EDATE(AI32,24))</f>
        <v>46131</v>
      </c>
      <c r="AK32" s="90">
        <v>45408</v>
      </c>
      <c r="AL32" s="90">
        <f>IF(ISBLANK(AK32),"",EDATE(AK32,24))</f>
        <v>46138</v>
      </c>
      <c r="AM32" s="90">
        <v>45407</v>
      </c>
      <c r="AN32" s="90">
        <f>IF(ISBLANK(AM32),"",EDATE(AM32,24))</f>
        <v>46137</v>
      </c>
      <c r="AO32" s="90">
        <v>45709</v>
      </c>
      <c r="AP32" s="90">
        <f t="shared" ref="AP32:AP37" si="31">IF(ISBLANK(AO32),"",EDATE(AO32,24))</f>
        <v>46439</v>
      </c>
      <c r="AQ32" s="238">
        <v>45784</v>
      </c>
      <c r="AR32" s="90">
        <f t="shared" ref="AR32:AR37" si="32">IF(ISBLANK(AQ32),"",EDATE(AQ32,24))</f>
        <v>46514</v>
      </c>
      <c r="AS32" s="285" t="s">
        <v>232</v>
      </c>
      <c r="AT32" s="285" t="s">
        <v>232</v>
      </c>
      <c r="AU32" s="285" t="s">
        <v>232</v>
      </c>
      <c r="AV32" s="285" t="s">
        <v>232</v>
      </c>
      <c r="AW32" s="285" t="s">
        <v>232</v>
      </c>
      <c r="AX32" s="285" t="s">
        <v>232</v>
      </c>
      <c r="AY32" s="285" t="s">
        <v>232</v>
      </c>
      <c r="AZ32" s="285" t="s">
        <v>232</v>
      </c>
      <c r="BA32" s="285" t="s">
        <v>232</v>
      </c>
      <c r="BB32" s="285" t="s">
        <v>232</v>
      </c>
      <c r="BC32" s="285" t="s">
        <v>232</v>
      </c>
      <c r="BD32" s="285" t="s">
        <v>232</v>
      </c>
      <c r="BE32" s="285" t="s">
        <v>232</v>
      </c>
      <c r="BF32" s="285" t="s">
        <v>232</v>
      </c>
      <c r="BG32" s="285" t="s">
        <v>232</v>
      </c>
      <c r="BH32" s="285" t="s">
        <v>232</v>
      </c>
      <c r="BI32" s="285" t="s">
        <v>232</v>
      </c>
      <c r="BJ32" s="285" t="s">
        <v>232</v>
      </c>
      <c r="BK32" s="90">
        <v>45456</v>
      </c>
      <c r="BL32" s="90">
        <f t="shared" ref="BL32:BL37" si="33">IF(ISBLANK(BK32),"",EDATE(BK32,24))</f>
        <v>46186</v>
      </c>
      <c r="BM32" s="90" t="s">
        <v>232</v>
      </c>
      <c r="BN32" s="285" t="s">
        <v>232</v>
      </c>
      <c r="BO32" s="285" t="s">
        <v>232</v>
      </c>
      <c r="BP32" s="90">
        <v>42851</v>
      </c>
      <c r="BQ32" s="90">
        <v>45341</v>
      </c>
      <c r="BR32" s="90">
        <v>42909</v>
      </c>
      <c r="BS32" s="90" t="s">
        <v>232</v>
      </c>
      <c r="BT32" s="90">
        <v>45466</v>
      </c>
      <c r="BU32" s="90">
        <v>45477</v>
      </c>
      <c r="BV32" s="90">
        <v>45465</v>
      </c>
      <c r="BW32" s="90">
        <v>45910</v>
      </c>
      <c r="BX32" s="90">
        <v>45331</v>
      </c>
      <c r="BY32" s="90">
        <v>45474</v>
      </c>
      <c r="BZ32" s="90">
        <v>45372</v>
      </c>
      <c r="CA32" s="90" t="s">
        <v>232</v>
      </c>
      <c r="CB32" s="90">
        <v>45376</v>
      </c>
      <c r="CC32" s="90">
        <v>45378</v>
      </c>
      <c r="CD32" s="90">
        <v>45483</v>
      </c>
      <c r="CE32" s="90">
        <v>45524</v>
      </c>
      <c r="CF32" s="90">
        <v>45532</v>
      </c>
      <c r="CG32" s="90">
        <v>45540</v>
      </c>
      <c r="CH32" s="90">
        <v>45548</v>
      </c>
      <c r="CI32" s="90">
        <v>45559</v>
      </c>
      <c r="CJ32" s="90" t="s">
        <v>232</v>
      </c>
      <c r="CK32" s="90">
        <v>45609</v>
      </c>
      <c r="CL32" s="90">
        <v>45639</v>
      </c>
      <c r="CM32" s="10">
        <v>45699</v>
      </c>
      <c r="CN32" s="90" t="s">
        <v>232</v>
      </c>
      <c r="CO32" s="108">
        <v>45757</v>
      </c>
      <c r="CP32" s="291" t="s">
        <v>232</v>
      </c>
      <c r="CQ32" s="291" t="s">
        <v>232</v>
      </c>
      <c r="CR32" s="305" t="s">
        <v>232</v>
      </c>
      <c r="CS32" s="307" t="s">
        <v>232</v>
      </c>
      <c r="CT32" s="308" t="s">
        <v>232</v>
      </c>
      <c r="CU32" s="238">
        <v>45905</v>
      </c>
    </row>
    <row r="33" spans="1:103" ht="50.25" customHeight="1">
      <c r="A33" s="156" t="s">
        <v>755</v>
      </c>
      <c r="B33" s="295" t="s">
        <v>756</v>
      </c>
      <c r="C33" s="7" t="s">
        <v>757</v>
      </c>
      <c r="D33" s="7" t="s">
        <v>758</v>
      </c>
      <c r="E33" s="9" t="s">
        <v>759</v>
      </c>
      <c r="F33" s="286" t="s">
        <v>232</v>
      </c>
      <c r="G33" s="98">
        <v>45450</v>
      </c>
      <c r="H33" s="90">
        <f t="shared" si="27"/>
        <v>46180</v>
      </c>
      <c r="I33" s="98">
        <v>45457</v>
      </c>
      <c r="J33" s="90">
        <f>IF(ISBLANK(I33),"",EDATE(I33,24))</f>
        <v>46187</v>
      </c>
      <c r="K33" s="98">
        <v>45481</v>
      </c>
      <c r="L33" s="90">
        <f>IF(ISBLANK(K33),"",EDATE(K33,24))</f>
        <v>46211</v>
      </c>
      <c r="M33" s="90">
        <v>45454</v>
      </c>
      <c r="N33" s="90">
        <f>IF(ISBLANK(M33),"",EDATE(M33,24))</f>
        <v>46184</v>
      </c>
      <c r="O33" s="90">
        <v>45454</v>
      </c>
      <c r="P33" s="90">
        <f>IF(ISBLANK(O33),"",EDATE(O33,24))</f>
        <v>46184</v>
      </c>
      <c r="Q33" s="98">
        <v>45449</v>
      </c>
      <c r="R33" s="10">
        <f t="shared" si="28"/>
        <v>46179</v>
      </c>
      <c r="S33" s="90">
        <v>45611</v>
      </c>
      <c r="T33" s="90">
        <f>IF(ISBLANK(S33),"",EDATE(S33,24))</f>
        <v>46341</v>
      </c>
      <c r="U33" s="10">
        <v>45695</v>
      </c>
      <c r="V33" s="10">
        <f>IF(ISBLANK(U33),"",EDATE(U33,24))</f>
        <v>46425</v>
      </c>
      <c r="W33" s="10">
        <v>45685</v>
      </c>
      <c r="X33" s="10">
        <f>IF(ISBLANK(W33),"",EDATE(W33,24))</f>
        <v>46415</v>
      </c>
      <c r="Y33" s="98">
        <v>45779</v>
      </c>
      <c r="Z33" s="90">
        <f>IF(ISBLANK(Y33),"",EDATE(Y33,24))</f>
        <v>46509</v>
      </c>
      <c r="AA33" s="98">
        <v>45819</v>
      </c>
      <c r="AB33" s="285">
        <v>46531</v>
      </c>
      <c r="AC33" s="285" t="s">
        <v>232</v>
      </c>
      <c r="AD33" s="285" t="s">
        <v>232</v>
      </c>
      <c r="AE33" s="98">
        <v>45447</v>
      </c>
      <c r="AF33" s="90">
        <f t="shared" si="29"/>
        <v>46177</v>
      </c>
      <c r="AG33" s="90">
        <v>45460</v>
      </c>
      <c r="AH33" s="90">
        <f>IF(ISBLANK(AG33),"",EDATE(AG33,24))</f>
        <v>46190</v>
      </c>
      <c r="AI33" s="90">
        <v>45462</v>
      </c>
      <c r="AJ33" s="90">
        <f t="shared" si="30"/>
        <v>46192</v>
      </c>
      <c r="AK33" s="290">
        <v>45748</v>
      </c>
      <c r="AL33" s="90">
        <f>IF(ISBLANK(AK33),"",EDATE(AK33,12))</f>
        <v>46113</v>
      </c>
      <c r="AM33" s="90">
        <v>45467</v>
      </c>
      <c r="AN33" s="90">
        <f>IF(ISBLANK(AM33),"",EDATE(AM33,24))</f>
        <v>46197</v>
      </c>
      <c r="AO33" s="90">
        <v>45709</v>
      </c>
      <c r="AP33" s="90">
        <f t="shared" si="31"/>
        <v>46439</v>
      </c>
      <c r="AQ33" s="238">
        <v>45784</v>
      </c>
      <c r="AR33" s="90">
        <f t="shared" si="32"/>
        <v>46514</v>
      </c>
      <c r="AS33" s="285" t="s">
        <v>232</v>
      </c>
      <c r="AT33" s="285" t="s">
        <v>232</v>
      </c>
      <c r="AU33" s="285" t="s">
        <v>232</v>
      </c>
      <c r="AV33" s="285" t="s">
        <v>232</v>
      </c>
      <c r="AW33" s="285" t="s">
        <v>232</v>
      </c>
      <c r="AX33" s="285" t="s">
        <v>232</v>
      </c>
      <c r="AY33" s="285" t="s">
        <v>232</v>
      </c>
      <c r="AZ33" s="285" t="s">
        <v>232</v>
      </c>
      <c r="BA33" s="285" t="s">
        <v>232</v>
      </c>
      <c r="BB33" s="285" t="s">
        <v>232</v>
      </c>
      <c r="BC33" s="285" t="s">
        <v>232</v>
      </c>
      <c r="BD33" s="285" t="s">
        <v>232</v>
      </c>
      <c r="BE33" s="285" t="s">
        <v>232</v>
      </c>
      <c r="BF33" s="285" t="s">
        <v>232</v>
      </c>
      <c r="BG33" s="285" t="s">
        <v>232</v>
      </c>
      <c r="BH33" s="285" t="s">
        <v>232</v>
      </c>
      <c r="BI33" s="285" t="s">
        <v>232</v>
      </c>
      <c r="BJ33" s="285" t="s">
        <v>232</v>
      </c>
      <c r="BK33" s="90">
        <v>45456</v>
      </c>
      <c r="BL33" s="90">
        <f t="shared" si="33"/>
        <v>46186</v>
      </c>
      <c r="BM33" s="90" t="s">
        <v>232</v>
      </c>
      <c r="BN33" s="90" t="s">
        <v>232</v>
      </c>
      <c r="BO33" s="90" t="s">
        <v>232</v>
      </c>
      <c r="BP33" s="90" t="s">
        <v>232</v>
      </c>
      <c r="BQ33" s="90" t="s">
        <v>232</v>
      </c>
      <c r="BR33" s="90" t="s">
        <v>232</v>
      </c>
      <c r="BS33" s="90" t="s">
        <v>232</v>
      </c>
      <c r="BT33" s="90">
        <v>45466</v>
      </c>
      <c r="BU33" s="90">
        <v>45477</v>
      </c>
      <c r="BV33" s="90">
        <v>45465</v>
      </c>
      <c r="BW33" s="90">
        <v>45465</v>
      </c>
      <c r="BX33" s="90">
        <v>45459</v>
      </c>
      <c r="BY33" s="90">
        <v>45474</v>
      </c>
      <c r="BZ33" s="90">
        <v>45480</v>
      </c>
      <c r="CA33" s="90" t="s">
        <v>232</v>
      </c>
      <c r="CB33" s="90">
        <v>45480</v>
      </c>
      <c r="CC33" s="90">
        <v>45476</v>
      </c>
      <c r="CD33" s="90">
        <v>45483</v>
      </c>
      <c r="CE33" s="90">
        <v>45526</v>
      </c>
      <c r="CF33" s="90">
        <v>45532</v>
      </c>
      <c r="CG33" s="90">
        <v>45540</v>
      </c>
      <c r="CH33" s="90">
        <v>45548</v>
      </c>
      <c r="CI33" s="90">
        <v>45559</v>
      </c>
      <c r="CJ33" s="90" t="s">
        <v>232</v>
      </c>
      <c r="CK33" s="90" t="s">
        <v>232</v>
      </c>
      <c r="CL33" s="90">
        <v>45639</v>
      </c>
      <c r="CM33" s="10">
        <v>45699</v>
      </c>
      <c r="CN33" s="90" t="s">
        <v>232</v>
      </c>
      <c r="CO33" s="108">
        <v>45746</v>
      </c>
      <c r="CP33" s="291" t="s">
        <v>232</v>
      </c>
      <c r="CQ33" s="291" t="s">
        <v>232</v>
      </c>
      <c r="CR33" s="305" t="s">
        <v>232</v>
      </c>
      <c r="CS33" s="307" t="s">
        <v>232</v>
      </c>
      <c r="CT33" s="308">
        <v>45807</v>
      </c>
      <c r="CV33" s="285" t="s">
        <v>232</v>
      </c>
    </row>
    <row r="34" spans="1:103" ht="50.25" customHeight="1">
      <c r="A34" s="156" t="s">
        <v>760</v>
      </c>
      <c r="B34" s="287" t="s">
        <v>761</v>
      </c>
      <c r="C34" s="7" t="s">
        <v>762</v>
      </c>
      <c r="D34" s="7" t="s">
        <v>763</v>
      </c>
      <c r="E34" s="9" t="s">
        <v>502</v>
      </c>
      <c r="F34" s="286" t="s">
        <v>232</v>
      </c>
      <c r="G34" s="98">
        <v>45572</v>
      </c>
      <c r="H34" s="10">
        <f t="shared" si="27"/>
        <v>46302</v>
      </c>
      <c r="I34" s="98">
        <v>45573</v>
      </c>
      <c r="J34" s="90">
        <f>IF(ISBLANK(I34),"",EDATE(I34,24))</f>
        <v>46303</v>
      </c>
      <c r="K34" s="98">
        <v>45574</v>
      </c>
      <c r="L34" s="90">
        <f>IF(ISBLANK(K34),"",EDATE(K34,24))</f>
        <v>46304</v>
      </c>
      <c r="M34" s="10">
        <v>45567</v>
      </c>
      <c r="N34" s="90">
        <f>IF(ISBLANK(M34),"",EDATE(M34,24))</f>
        <v>46297</v>
      </c>
      <c r="O34" s="10">
        <v>45568</v>
      </c>
      <c r="P34" s="90">
        <f>IF(ISBLANK(O34),"",EDATE(O34,24))</f>
        <v>46298</v>
      </c>
      <c r="Q34" s="73">
        <v>45581</v>
      </c>
      <c r="R34" s="10">
        <f t="shared" si="28"/>
        <v>46311</v>
      </c>
      <c r="S34" s="90">
        <v>45611</v>
      </c>
      <c r="T34" s="90">
        <f>IF(ISBLANK(S34),"",EDATE(S34,24))</f>
        <v>46341</v>
      </c>
      <c r="U34" s="98">
        <v>45615</v>
      </c>
      <c r="V34" s="90">
        <f>IF(ISBLANK(U34),"",EDATE(U34,24))</f>
        <v>46345</v>
      </c>
      <c r="W34" s="98">
        <v>45604</v>
      </c>
      <c r="X34" s="90">
        <f>IF(ISBLANK(W34),"",EDATE(W34,24))</f>
        <v>46334</v>
      </c>
      <c r="Y34" s="285" t="s">
        <v>232</v>
      </c>
      <c r="Z34" s="285" t="s">
        <v>232</v>
      </c>
      <c r="AA34" s="98">
        <v>45819</v>
      </c>
      <c r="AB34" s="285">
        <v>46549</v>
      </c>
      <c r="AC34" s="98">
        <v>45795</v>
      </c>
      <c r="AD34" s="90">
        <f>IF(ISBLANK(AC34),"",EDATE(AC34,24))</f>
        <v>46525</v>
      </c>
      <c r="AE34" s="98">
        <v>45569</v>
      </c>
      <c r="AF34" s="90">
        <f t="shared" si="29"/>
        <v>46299</v>
      </c>
      <c r="AG34" s="90">
        <v>45577</v>
      </c>
      <c r="AH34" s="90">
        <f>IF(ISBLANK(AG34),"",EDATE(AG34,24))</f>
        <v>46307</v>
      </c>
      <c r="AI34" s="90">
        <v>45579</v>
      </c>
      <c r="AJ34" s="90">
        <f t="shared" si="30"/>
        <v>46309</v>
      </c>
      <c r="AK34" s="290">
        <v>45561</v>
      </c>
      <c r="AL34" s="90">
        <f>IF(ISBLANK(AK34),"",EDATE(AK34,24))</f>
        <v>46291</v>
      </c>
      <c r="AM34" s="90">
        <v>45560</v>
      </c>
      <c r="AN34" s="10">
        <f>Table13[[#This Row],[Special Operations (EDTO/ETOPS)]]+730</f>
        <v>46438</v>
      </c>
      <c r="AO34" s="90">
        <v>45709</v>
      </c>
      <c r="AP34" s="90">
        <f t="shared" si="31"/>
        <v>46439</v>
      </c>
      <c r="AQ34" s="238">
        <v>45784</v>
      </c>
      <c r="AR34" s="90">
        <f t="shared" si="32"/>
        <v>46514</v>
      </c>
      <c r="AS34" s="11" t="s">
        <v>232</v>
      </c>
      <c r="AT34" s="11" t="s">
        <v>232</v>
      </c>
      <c r="AU34" s="11" t="s">
        <v>232</v>
      </c>
      <c r="AV34" s="11" t="s">
        <v>232</v>
      </c>
      <c r="AW34" s="11" t="s">
        <v>232</v>
      </c>
      <c r="AX34" s="11" t="s">
        <v>232</v>
      </c>
      <c r="AY34" s="285" t="s">
        <v>232</v>
      </c>
      <c r="AZ34" s="285" t="s">
        <v>232</v>
      </c>
      <c r="BA34" s="285" t="s">
        <v>232</v>
      </c>
      <c r="BB34" s="285" t="s">
        <v>232</v>
      </c>
      <c r="BC34" s="285" t="s">
        <v>232</v>
      </c>
      <c r="BD34" s="11" t="s">
        <v>232</v>
      </c>
      <c r="BE34" s="285" t="s">
        <v>232</v>
      </c>
      <c r="BF34" s="285" t="s">
        <v>232</v>
      </c>
      <c r="BG34" s="285" t="s">
        <v>232</v>
      </c>
      <c r="BH34" s="285" t="s">
        <v>232</v>
      </c>
      <c r="BI34" s="285" t="s">
        <v>232</v>
      </c>
      <c r="BJ34" s="285" t="s">
        <v>232</v>
      </c>
      <c r="BK34" s="10">
        <v>45575</v>
      </c>
      <c r="BL34" s="90">
        <f t="shared" si="33"/>
        <v>46305</v>
      </c>
      <c r="BM34" s="10" t="s">
        <v>232</v>
      </c>
      <c r="BN34" s="10" t="s">
        <v>232</v>
      </c>
      <c r="BO34" s="10" t="s">
        <v>232</v>
      </c>
      <c r="BP34" s="10" t="s">
        <v>232</v>
      </c>
      <c r="BQ34" s="10" t="s">
        <v>232</v>
      </c>
      <c r="BR34" s="10" t="s">
        <v>232</v>
      </c>
      <c r="BS34" s="10" t="s">
        <v>232</v>
      </c>
      <c r="BT34" s="10">
        <v>45583</v>
      </c>
      <c r="BU34" s="10">
        <v>45594</v>
      </c>
      <c r="BV34" s="10">
        <v>45584</v>
      </c>
      <c r="BW34" s="90">
        <v>45910</v>
      </c>
      <c r="BX34" s="10">
        <v>45582</v>
      </c>
      <c r="BY34" s="10">
        <v>45588</v>
      </c>
      <c r="BZ34" s="10">
        <v>45593</v>
      </c>
      <c r="CA34" s="90" t="s">
        <v>232</v>
      </c>
      <c r="CB34" s="10">
        <v>45593</v>
      </c>
      <c r="CC34" s="10">
        <v>45590</v>
      </c>
      <c r="CD34" s="109" t="s">
        <v>232</v>
      </c>
      <c r="CE34" s="90">
        <v>45619</v>
      </c>
      <c r="CF34" s="90">
        <v>45622</v>
      </c>
      <c r="CG34" s="10">
        <v>45627</v>
      </c>
      <c r="CH34" s="10">
        <v>45602</v>
      </c>
      <c r="CI34" s="10">
        <v>45609</v>
      </c>
      <c r="CJ34" s="90" t="s">
        <v>232</v>
      </c>
      <c r="CK34" s="90" t="s">
        <v>232</v>
      </c>
      <c r="CL34" s="90">
        <v>45639</v>
      </c>
      <c r="CM34" s="10">
        <v>45699</v>
      </c>
      <c r="CN34" s="90" t="s">
        <v>232</v>
      </c>
      <c r="CO34" s="90">
        <v>45757</v>
      </c>
      <c r="CP34" s="90" t="s">
        <v>232</v>
      </c>
      <c r="CQ34" s="90" t="s">
        <v>232</v>
      </c>
      <c r="CR34" s="294" t="s">
        <v>232</v>
      </c>
      <c r="CS34" s="307" t="s">
        <v>232</v>
      </c>
      <c r="CT34" s="308" t="s">
        <v>232</v>
      </c>
      <c r="CU34" s="285" t="s">
        <v>232</v>
      </c>
    </row>
    <row r="35" spans="1:103" ht="50.25" customHeight="1">
      <c r="A35" s="156" t="s">
        <v>764</v>
      </c>
      <c r="B35" s="287" t="s">
        <v>765</v>
      </c>
      <c r="C35" s="7" t="s">
        <v>766</v>
      </c>
      <c r="D35" s="7" t="s">
        <v>767</v>
      </c>
      <c r="E35" s="9" t="s">
        <v>706</v>
      </c>
      <c r="F35" s="286" t="s">
        <v>232</v>
      </c>
      <c r="G35" s="98">
        <v>45664</v>
      </c>
      <c r="H35" s="90">
        <f t="shared" si="27"/>
        <v>46394</v>
      </c>
      <c r="I35" s="98">
        <v>45665</v>
      </c>
      <c r="J35" s="90">
        <f>IF(ISBLANK(I35),"",EDATE(I35,24))</f>
        <v>46395</v>
      </c>
      <c r="K35" s="98">
        <v>45666</v>
      </c>
      <c r="L35" s="90">
        <f>IF(ISBLANK(K35),"",EDATE(K35,24))</f>
        <v>46396</v>
      </c>
      <c r="M35" s="90">
        <v>45659</v>
      </c>
      <c r="N35" s="90">
        <f>IF(ISBLANK(M35),"",EDATE(M35,24))</f>
        <v>46389</v>
      </c>
      <c r="O35" s="90">
        <v>45660</v>
      </c>
      <c r="P35" s="90">
        <f>IF(ISBLANK(O35),"",EDATE(O35,24))</f>
        <v>46390</v>
      </c>
      <c r="Q35" s="90">
        <v>45678</v>
      </c>
      <c r="R35" s="90">
        <f t="shared" si="28"/>
        <v>46408</v>
      </c>
      <c r="S35" s="90">
        <v>45680</v>
      </c>
      <c r="T35" s="90">
        <f>IF(ISBLANK(S35),"",EDATE(S35,24))</f>
        <v>46410</v>
      </c>
      <c r="U35" s="90">
        <v>45695</v>
      </c>
      <c r="V35" s="90">
        <f>IF(ISBLANK(U35),"",EDATE(U35,24))</f>
        <v>46425</v>
      </c>
      <c r="W35" s="90">
        <v>45685</v>
      </c>
      <c r="X35" s="90">
        <f>IF(ISBLANK(W35),"",EDATE(W35,24))</f>
        <v>46415</v>
      </c>
      <c r="Y35" s="285" t="s">
        <v>232</v>
      </c>
      <c r="Z35" s="285" t="s">
        <v>232</v>
      </c>
      <c r="AA35" s="98">
        <v>45819</v>
      </c>
      <c r="AB35" s="90">
        <f>IF(ISBLANK(AA35),"",EDATE(AA35,24))</f>
        <v>46549</v>
      </c>
      <c r="AC35" s="98">
        <v>45795</v>
      </c>
      <c r="AD35" s="90">
        <f>IF(ISBLANK(AC35),"",EDATE(AC35,24))</f>
        <v>46525</v>
      </c>
      <c r="AE35" s="98">
        <v>45663</v>
      </c>
      <c r="AF35" s="90">
        <f t="shared" si="29"/>
        <v>46393</v>
      </c>
      <c r="AG35" s="90">
        <v>45673</v>
      </c>
      <c r="AH35" s="90">
        <f>IF(ISBLANK(AG35),"",EDATE(AG35,24))</f>
        <v>46403</v>
      </c>
      <c r="AI35" s="90">
        <v>45674</v>
      </c>
      <c r="AJ35" s="90">
        <f t="shared" si="30"/>
        <v>46404</v>
      </c>
      <c r="AK35" s="290">
        <v>45616</v>
      </c>
      <c r="AL35" s="90">
        <v>46346</v>
      </c>
      <c r="AM35" s="90">
        <v>45617</v>
      </c>
      <c r="AN35" s="90">
        <f>Table13[[#This Row],[Special Operations (EDTO/ETOPS)]]+730</f>
        <v>46516</v>
      </c>
      <c r="AO35" s="90">
        <v>45709</v>
      </c>
      <c r="AP35" s="90">
        <f t="shared" si="31"/>
        <v>46439</v>
      </c>
      <c r="AQ35" s="90">
        <v>45784</v>
      </c>
      <c r="AR35" s="90">
        <f t="shared" si="32"/>
        <v>46514</v>
      </c>
      <c r="AS35" s="285" t="s">
        <v>232</v>
      </c>
      <c r="AT35" s="285" t="s">
        <v>232</v>
      </c>
      <c r="AU35" s="285" t="s">
        <v>232</v>
      </c>
      <c r="AV35" s="285" t="s">
        <v>232</v>
      </c>
      <c r="AW35" s="285" t="s">
        <v>232</v>
      </c>
      <c r="AX35" s="285" t="s">
        <v>232</v>
      </c>
      <c r="AY35" s="90" t="s">
        <v>232</v>
      </c>
      <c r="AZ35" s="285" t="s">
        <v>232</v>
      </c>
      <c r="BA35" s="285" t="s">
        <v>232</v>
      </c>
      <c r="BB35" s="285" t="s">
        <v>232</v>
      </c>
      <c r="BC35" s="285" t="s">
        <v>232</v>
      </c>
      <c r="BD35" s="285" t="s">
        <v>232</v>
      </c>
      <c r="BE35" s="285" t="s">
        <v>232</v>
      </c>
      <c r="BF35" s="285" t="s">
        <v>232</v>
      </c>
      <c r="BG35" s="285" t="s">
        <v>232</v>
      </c>
      <c r="BH35" s="285" t="s">
        <v>232</v>
      </c>
      <c r="BI35" s="285" t="s">
        <v>232</v>
      </c>
      <c r="BJ35" s="285" t="s">
        <v>232</v>
      </c>
      <c r="BK35" s="109">
        <v>45667</v>
      </c>
      <c r="BL35" s="109">
        <f t="shared" si="33"/>
        <v>46397</v>
      </c>
      <c r="BM35" s="90" t="s">
        <v>232</v>
      </c>
      <c r="BN35" s="90" t="s">
        <v>232</v>
      </c>
      <c r="BO35" s="90" t="s">
        <v>232</v>
      </c>
      <c r="BP35" s="90" t="s">
        <v>232</v>
      </c>
      <c r="BQ35" s="90" t="s">
        <v>232</v>
      </c>
      <c r="BR35" s="90" t="s">
        <v>232</v>
      </c>
      <c r="BS35" s="90" t="s">
        <v>232</v>
      </c>
      <c r="BT35" s="90">
        <v>45693</v>
      </c>
      <c r="BU35" s="90">
        <v>45712</v>
      </c>
      <c r="BV35" s="90">
        <v>45696</v>
      </c>
      <c r="BW35" s="90">
        <v>45910</v>
      </c>
      <c r="BX35" s="90">
        <v>45692</v>
      </c>
      <c r="BY35" s="90">
        <v>45724</v>
      </c>
      <c r="BZ35" s="90">
        <v>45698</v>
      </c>
      <c r="CA35" s="90" t="s">
        <v>232</v>
      </c>
      <c r="CB35" s="90">
        <v>45698</v>
      </c>
      <c r="CC35" s="90">
        <v>45706</v>
      </c>
      <c r="CD35" s="90" t="s">
        <v>232</v>
      </c>
      <c r="CE35" s="90">
        <v>45720</v>
      </c>
      <c r="CF35" s="90">
        <v>45814</v>
      </c>
      <c r="CG35" s="90">
        <v>45731</v>
      </c>
      <c r="CH35" s="90">
        <v>45716</v>
      </c>
      <c r="CI35" s="90">
        <v>45716</v>
      </c>
      <c r="CJ35" s="90" t="s">
        <v>232</v>
      </c>
      <c r="CK35" s="90" t="s">
        <v>232</v>
      </c>
      <c r="CL35" s="90">
        <v>45639</v>
      </c>
      <c r="CM35" s="90">
        <v>45699</v>
      </c>
      <c r="CN35" s="90" t="s">
        <v>232</v>
      </c>
      <c r="CO35" s="90">
        <v>45757</v>
      </c>
      <c r="CP35" s="90" t="s">
        <v>232</v>
      </c>
      <c r="CQ35" s="90" t="s">
        <v>232</v>
      </c>
      <c r="CR35" s="294" t="s">
        <v>232</v>
      </c>
      <c r="CS35" s="307" t="s">
        <v>232</v>
      </c>
      <c r="CT35" s="308" t="s">
        <v>232</v>
      </c>
      <c r="CU35" s="285" t="s">
        <v>232</v>
      </c>
    </row>
    <row r="36" spans="1:103" ht="50.25" customHeight="1">
      <c r="A36" s="156" t="s">
        <v>768</v>
      </c>
      <c r="B36" s="287" t="s">
        <v>769</v>
      </c>
      <c r="C36" s="289" t="s">
        <v>770</v>
      </c>
      <c r="D36" s="289" t="s">
        <v>771</v>
      </c>
      <c r="E36" s="288" t="s">
        <v>437</v>
      </c>
      <c r="F36" s="286" t="s">
        <v>232</v>
      </c>
      <c r="G36" s="98">
        <v>45792</v>
      </c>
      <c r="H36" s="90">
        <f t="shared" si="27"/>
        <v>46522</v>
      </c>
      <c r="I36" s="98">
        <v>45826</v>
      </c>
      <c r="J36" s="90">
        <v>46556</v>
      </c>
      <c r="K36" s="90">
        <v>45827</v>
      </c>
      <c r="L36" s="90">
        <v>46557</v>
      </c>
      <c r="M36" s="90">
        <v>45819</v>
      </c>
      <c r="N36" s="90">
        <v>46549</v>
      </c>
      <c r="O36" s="90">
        <v>45819</v>
      </c>
      <c r="P36" s="90">
        <v>46549</v>
      </c>
      <c r="Q36" s="98">
        <v>45797</v>
      </c>
      <c r="R36" s="90">
        <f t="shared" si="28"/>
        <v>46527</v>
      </c>
      <c r="S36" s="285">
        <v>45825</v>
      </c>
      <c r="T36" s="285">
        <v>46555</v>
      </c>
      <c r="U36" s="90">
        <v>45804</v>
      </c>
      <c r="V36" s="90">
        <v>46534</v>
      </c>
      <c r="W36" s="285">
        <v>45834</v>
      </c>
      <c r="X36" s="285">
        <v>46564</v>
      </c>
      <c r="Y36" s="285" t="s">
        <v>232</v>
      </c>
      <c r="Z36" s="285" t="s">
        <v>232</v>
      </c>
      <c r="AA36" s="98">
        <v>45819</v>
      </c>
      <c r="AB36" s="90">
        <f>IF(ISBLANK(AA36),"",EDATE(AA36,24))</f>
        <v>46549</v>
      </c>
      <c r="AC36" s="98">
        <v>45795</v>
      </c>
      <c r="AD36" s="90">
        <f>IF(ISBLANK(AC36),"",EDATE(AC36,24))</f>
        <v>46525</v>
      </c>
      <c r="AE36" s="98">
        <v>45784</v>
      </c>
      <c r="AF36" s="290">
        <f t="shared" si="29"/>
        <v>46514</v>
      </c>
      <c r="AG36" s="290">
        <v>45820</v>
      </c>
      <c r="AH36" s="98">
        <v>46550</v>
      </c>
      <c r="AI36" s="90">
        <v>45791</v>
      </c>
      <c r="AJ36" s="90">
        <f t="shared" si="30"/>
        <v>46521</v>
      </c>
      <c r="AK36" s="290">
        <v>45785</v>
      </c>
      <c r="AL36" s="290">
        <f>IF(ISBLANK(AK36),"",EDATE(AK36,12))</f>
        <v>46150</v>
      </c>
      <c r="AM36" s="290">
        <v>45786</v>
      </c>
      <c r="AN36" s="290">
        <f>IF(ISBLANK(AM36),"",EDATE(AM36,24))</f>
        <v>46516</v>
      </c>
      <c r="AO36" s="90">
        <v>45790</v>
      </c>
      <c r="AP36" s="90">
        <f t="shared" si="31"/>
        <v>46520</v>
      </c>
      <c r="AQ36" s="290">
        <v>45788</v>
      </c>
      <c r="AR36" s="90">
        <f t="shared" si="32"/>
        <v>46518</v>
      </c>
      <c r="AS36" s="98"/>
      <c r="AT36" s="98" t="s">
        <v>232</v>
      </c>
      <c r="AU36" s="98" t="s">
        <v>232</v>
      </c>
      <c r="AV36" s="98" t="s">
        <v>232</v>
      </c>
      <c r="AW36" s="98" t="s">
        <v>232</v>
      </c>
      <c r="AX36" s="98" t="s">
        <v>232</v>
      </c>
      <c r="AY36" s="285" t="s">
        <v>232</v>
      </c>
      <c r="AZ36" s="98" t="s">
        <v>232</v>
      </c>
      <c r="BA36" s="98" t="s">
        <v>232</v>
      </c>
      <c r="BB36" s="98" t="s">
        <v>232</v>
      </c>
      <c r="BC36" s="98" t="s">
        <v>232</v>
      </c>
      <c r="BD36" s="98" t="s">
        <v>232</v>
      </c>
      <c r="BE36" s="98" t="s">
        <v>232</v>
      </c>
      <c r="BF36" s="98" t="s">
        <v>232</v>
      </c>
      <c r="BG36" s="285" t="s">
        <v>232</v>
      </c>
      <c r="BH36" s="285" t="s">
        <v>232</v>
      </c>
      <c r="BI36" s="285" t="s">
        <v>232</v>
      </c>
      <c r="BJ36" s="285" t="s">
        <v>232</v>
      </c>
      <c r="BK36" s="90">
        <v>45793</v>
      </c>
      <c r="BL36" s="90">
        <f t="shared" si="33"/>
        <v>46523</v>
      </c>
      <c r="BM36" s="90" t="s">
        <v>232</v>
      </c>
      <c r="BN36" s="90" t="s">
        <v>232</v>
      </c>
      <c r="BO36" s="90" t="s">
        <v>232</v>
      </c>
      <c r="BP36" s="90" t="s">
        <v>232</v>
      </c>
      <c r="BQ36" s="90" t="s">
        <v>232</v>
      </c>
      <c r="BR36" s="90" t="s">
        <v>232</v>
      </c>
      <c r="BS36" s="90" t="s">
        <v>232</v>
      </c>
      <c r="BT36" s="90" t="s">
        <v>232</v>
      </c>
      <c r="BU36" s="90" t="s">
        <v>232</v>
      </c>
      <c r="BV36" s="90" t="s">
        <v>232</v>
      </c>
      <c r="BW36" s="90">
        <v>45910</v>
      </c>
      <c r="BX36" s="90" t="s">
        <v>232</v>
      </c>
      <c r="BY36" s="90" t="s">
        <v>232</v>
      </c>
      <c r="BZ36" s="90" t="s">
        <v>232</v>
      </c>
      <c r="CA36" s="90" t="s">
        <v>232</v>
      </c>
      <c r="CB36" s="90" t="s">
        <v>232</v>
      </c>
      <c r="CC36" s="90" t="s">
        <v>232</v>
      </c>
      <c r="CD36" s="90" t="s">
        <v>232</v>
      </c>
      <c r="CE36" s="290" t="s">
        <v>232</v>
      </c>
      <c r="CF36" s="90">
        <v>45814</v>
      </c>
      <c r="CG36" s="90" t="s">
        <v>232</v>
      </c>
      <c r="CH36" s="90" t="s">
        <v>232</v>
      </c>
      <c r="CI36" s="90" t="s">
        <v>232</v>
      </c>
      <c r="CJ36" s="90" t="s">
        <v>232</v>
      </c>
      <c r="CK36" s="90" t="s">
        <v>232</v>
      </c>
      <c r="CL36" s="90" t="s">
        <v>232</v>
      </c>
      <c r="CM36" s="90" t="s">
        <v>232</v>
      </c>
      <c r="CN36" s="90" t="s">
        <v>232</v>
      </c>
      <c r="CO36" s="90" t="s">
        <v>232</v>
      </c>
      <c r="CP36" s="90" t="s">
        <v>232</v>
      </c>
      <c r="CQ36" s="90" t="s">
        <v>232</v>
      </c>
      <c r="CR36" s="294" t="s">
        <v>232</v>
      </c>
      <c r="CS36" s="307" t="s">
        <v>232</v>
      </c>
      <c r="CT36" s="308" t="s">
        <v>232</v>
      </c>
      <c r="CU36" s="285" t="s">
        <v>232</v>
      </c>
    </row>
    <row r="37" spans="1:103" ht="50.25" customHeight="1">
      <c r="A37" s="156" t="s">
        <v>772</v>
      </c>
      <c r="B37" s="295" t="s">
        <v>773</v>
      </c>
      <c r="C37" s="7" t="s">
        <v>774</v>
      </c>
      <c r="D37" s="7" t="s">
        <v>775</v>
      </c>
      <c r="E37" s="288" t="s">
        <v>384</v>
      </c>
      <c r="F37" s="286" t="s">
        <v>232</v>
      </c>
      <c r="G37" s="98">
        <v>45792</v>
      </c>
      <c r="H37" s="90">
        <f t="shared" si="27"/>
        <v>46522</v>
      </c>
      <c r="I37" s="98">
        <v>45826</v>
      </c>
      <c r="J37" s="90">
        <v>46556</v>
      </c>
      <c r="K37" s="90">
        <v>45827</v>
      </c>
      <c r="L37" s="90">
        <v>46557</v>
      </c>
      <c r="M37" s="90">
        <v>45819</v>
      </c>
      <c r="N37" s="90">
        <v>46549</v>
      </c>
      <c r="O37" s="90">
        <v>45819</v>
      </c>
      <c r="P37" s="90">
        <v>46549</v>
      </c>
      <c r="Q37" s="98">
        <v>45797</v>
      </c>
      <c r="R37" s="90">
        <f t="shared" si="28"/>
        <v>46527</v>
      </c>
      <c r="S37" s="285">
        <v>45825</v>
      </c>
      <c r="T37" s="285">
        <v>46555</v>
      </c>
      <c r="U37" s="90">
        <v>45804</v>
      </c>
      <c r="V37" s="90">
        <v>46534</v>
      </c>
      <c r="W37" s="285">
        <v>45834</v>
      </c>
      <c r="X37" s="285">
        <v>46564</v>
      </c>
      <c r="Y37" s="285" t="s">
        <v>232</v>
      </c>
      <c r="Z37" s="285" t="s">
        <v>232</v>
      </c>
      <c r="AA37" s="98">
        <v>45819</v>
      </c>
      <c r="AB37" s="90">
        <f>IF(ISBLANK(AA37),"",EDATE(AA37,24))</f>
        <v>46549</v>
      </c>
      <c r="AC37" s="285" t="s">
        <v>232</v>
      </c>
      <c r="AD37" s="285" t="s">
        <v>232</v>
      </c>
      <c r="AE37" s="98">
        <v>45784</v>
      </c>
      <c r="AF37" s="290">
        <f t="shared" si="29"/>
        <v>46514</v>
      </c>
      <c r="AG37" s="290">
        <v>45820</v>
      </c>
      <c r="AH37" s="98">
        <v>46550</v>
      </c>
      <c r="AI37" s="90">
        <v>45791</v>
      </c>
      <c r="AJ37" s="90">
        <f t="shared" si="30"/>
        <v>46521</v>
      </c>
      <c r="AK37" s="90">
        <v>45785</v>
      </c>
      <c r="AL37" s="90">
        <f>IF(ISBLANK(AK37),"",EDATE(AK37,12))</f>
        <v>46150</v>
      </c>
      <c r="AM37" s="108">
        <v>45786</v>
      </c>
      <c r="AN37" s="108">
        <f>IF(ISBLANK(Current!AN52),"",EDATE(Current!AN52,24))</f>
        <v>46516</v>
      </c>
      <c r="AO37" s="90">
        <v>45790</v>
      </c>
      <c r="AP37" s="90">
        <f t="shared" si="31"/>
        <v>46520</v>
      </c>
      <c r="AQ37" s="90">
        <v>45783</v>
      </c>
      <c r="AR37" s="90">
        <f t="shared" si="32"/>
        <v>46513</v>
      </c>
      <c r="AS37" s="90" t="s">
        <v>232</v>
      </c>
      <c r="AT37" s="90" t="s">
        <v>232</v>
      </c>
      <c r="AU37" s="90" t="s">
        <v>232</v>
      </c>
      <c r="AV37" s="90" t="s">
        <v>232</v>
      </c>
      <c r="AW37" s="292" t="s">
        <v>232</v>
      </c>
      <c r="AX37" s="292" t="s">
        <v>232</v>
      </c>
      <c r="AY37" s="90" t="s">
        <v>232</v>
      </c>
      <c r="AZ37" s="90" t="s">
        <v>232</v>
      </c>
      <c r="BA37" s="90" t="s">
        <v>232</v>
      </c>
      <c r="BB37" s="90" t="s">
        <v>232</v>
      </c>
      <c r="BC37" s="90" t="s">
        <v>232</v>
      </c>
      <c r="BD37" s="90" t="s">
        <v>232</v>
      </c>
      <c r="BE37" s="90" t="s">
        <v>232</v>
      </c>
      <c r="BF37" s="90" t="s">
        <v>232</v>
      </c>
      <c r="BG37" s="90" t="s">
        <v>232</v>
      </c>
      <c r="BH37" s="90" t="s">
        <v>232</v>
      </c>
      <c r="BI37" s="90" t="s">
        <v>232</v>
      </c>
      <c r="BJ37" s="90" t="s">
        <v>232</v>
      </c>
      <c r="BK37" s="108">
        <v>45793</v>
      </c>
      <c r="BL37" s="90">
        <f t="shared" si="33"/>
        <v>46523</v>
      </c>
      <c r="BM37" s="90" t="s">
        <v>232</v>
      </c>
      <c r="BN37" s="90" t="s">
        <v>232</v>
      </c>
      <c r="BO37" s="90" t="s">
        <v>232</v>
      </c>
      <c r="BP37" s="90" t="s">
        <v>232</v>
      </c>
      <c r="BQ37" s="90" t="s">
        <v>232</v>
      </c>
      <c r="BR37" s="90" t="s">
        <v>232</v>
      </c>
      <c r="BS37" s="90" t="s">
        <v>232</v>
      </c>
      <c r="BT37" s="90" t="s">
        <v>232</v>
      </c>
      <c r="BU37" s="90" t="s">
        <v>232</v>
      </c>
      <c r="BV37" s="90" t="s">
        <v>232</v>
      </c>
      <c r="BW37" s="90">
        <v>45910</v>
      </c>
      <c r="BX37" s="90" t="s">
        <v>232</v>
      </c>
      <c r="BY37" s="90" t="s">
        <v>232</v>
      </c>
      <c r="BZ37" s="90" t="s">
        <v>232</v>
      </c>
      <c r="CA37" s="90" t="s">
        <v>232</v>
      </c>
      <c r="CB37" s="108" t="s">
        <v>232</v>
      </c>
      <c r="CC37" s="108" t="s">
        <v>232</v>
      </c>
      <c r="CD37" s="108" t="s">
        <v>232</v>
      </c>
      <c r="CE37" s="108" t="s">
        <v>232</v>
      </c>
      <c r="CF37" s="108" t="s">
        <v>232</v>
      </c>
      <c r="CG37" s="108" t="s">
        <v>232</v>
      </c>
      <c r="CH37" s="108" t="s">
        <v>232</v>
      </c>
      <c r="CI37" s="108" t="s">
        <v>232</v>
      </c>
      <c r="CJ37" s="108" t="s">
        <v>232</v>
      </c>
      <c r="CK37" s="108" t="s">
        <v>232</v>
      </c>
      <c r="CL37" s="108" t="s">
        <v>232</v>
      </c>
      <c r="CM37" s="108">
        <v>45891</v>
      </c>
      <c r="CN37" s="108" t="s">
        <v>232</v>
      </c>
      <c r="CO37" s="108" t="s">
        <v>232</v>
      </c>
      <c r="CP37" s="108" t="s">
        <v>232</v>
      </c>
      <c r="CQ37" s="108" t="s">
        <v>232</v>
      </c>
      <c r="CR37" s="306" t="s">
        <v>232</v>
      </c>
      <c r="CS37" s="307" t="s">
        <v>232</v>
      </c>
      <c r="CT37" s="308">
        <v>45807</v>
      </c>
      <c r="CU37" s="285" t="s">
        <v>232</v>
      </c>
    </row>
    <row r="38" spans="1:103" ht="15" customHeight="1">
      <c r="A38" s="331">
        <v>13</v>
      </c>
      <c r="B38" s="321" t="s">
        <v>776</v>
      </c>
      <c r="C38" s="52" t="s">
        <v>777</v>
      </c>
      <c r="D38" s="52" t="s">
        <v>778</v>
      </c>
      <c r="E38" s="207" t="s">
        <v>437</v>
      </c>
      <c r="F38" s="322" t="s">
        <v>232</v>
      </c>
      <c r="G38" s="318">
        <v>45450</v>
      </c>
      <c r="H38" s="91">
        <f>IF(ISBLANK(G38),"",EDATE(G38,24))</f>
        <v>46180</v>
      </c>
      <c r="I38" s="318">
        <v>45457</v>
      </c>
      <c r="J38" s="91">
        <f>IF(ISBLANK(I38),"",EDATE(I38,24))</f>
        <v>46187</v>
      </c>
      <c r="K38" s="318">
        <v>45481</v>
      </c>
      <c r="L38" s="91">
        <f>IF(ISBLANK(K38),"",EDATE(K38,24))</f>
        <v>46211</v>
      </c>
      <c r="M38" s="318">
        <v>45454</v>
      </c>
      <c r="N38" s="91">
        <f>IF(ISBLANK(M38),"",EDATE(M38,24))</f>
        <v>46184</v>
      </c>
      <c r="O38" s="318">
        <v>45454</v>
      </c>
      <c r="P38" s="91">
        <f>IF(ISBLANK(O38),"",EDATE(O38,24))</f>
        <v>46184</v>
      </c>
      <c r="Q38" s="318">
        <v>45449</v>
      </c>
      <c r="R38" s="91">
        <f>IF(ISBLANK(Q38),"",EDATE(Q38,24))</f>
        <v>46179</v>
      </c>
      <c r="S38" s="91">
        <v>45611</v>
      </c>
      <c r="T38" s="91">
        <f>IF(ISBLANK(S38),"",EDATE(S38,24))</f>
        <v>46341</v>
      </c>
      <c r="U38" s="318">
        <v>45615</v>
      </c>
      <c r="V38" s="91">
        <f>IF(ISBLANK(U38),"",EDATE(U38,24))</f>
        <v>46345</v>
      </c>
      <c r="W38" s="318">
        <v>45604</v>
      </c>
      <c r="X38" s="91">
        <f>IF(ISBLANK(W38),"",EDATE(W38,24))</f>
        <v>46334</v>
      </c>
      <c r="Y38" s="317" t="s">
        <v>232</v>
      </c>
      <c r="Z38" s="317" t="s">
        <v>232</v>
      </c>
      <c r="AA38" s="318">
        <v>45819</v>
      </c>
      <c r="AB38" s="91">
        <f>IF(ISBLANK(AA38),"",EDATE(AA38,24))</f>
        <v>46549</v>
      </c>
      <c r="AC38" s="318">
        <v>45795</v>
      </c>
      <c r="AD38" s="91">
        <f>IF(ISBLANK(AC38),"",EDATE(AC38,24))</f>
        <v>46525</v>
      </c>
      <c r="AE38" s="318">
        <v>45447</v>
      </c>
      <c r="AF38" s="91">
        <f>IF(ISBLANK(AE38),"",EDATE(AE38,24))</f>
        <v>46177</v>
      </c>
      <c r="AG38" s="91">
        <v>45460</v>
      </c>
      <c r="AH38" s="91">
        <f>IF(ISBLANK(AG38),"",EDATE(AG38,24))</f>
        <v>46190</v>
      </c>
      <c r="AI38" s="91">
        <v>45462</v>
      </c>
      <c r="AJ38" s="91">
        <f>IF(ISBLANK(AI38),"",EDATE(AI38,24))</f>
        <v>46192</v>
      </c>
      <c r="AK38" s="319">
        <v>45468</v>
      </c>
      <c r="AL38" s="91">
        <f>IF(ISBLANK(AK38),"",EDATE(AK38,24))</f>
        <v>46198</v>
      </c>
      <c r="AM38" s="91">
        <v>45467</v>
      </c>
      <c r="AN38" s="91">
        <f>IF(ISBLANK(AM38),"",EDATE(AM38,24))</f>
        <v>46197</v>
      </c>
      <c r="AO38" s="91">
        <v>45710</v>
      </c>
      <c r="AP38" s="91">
        <f>IF(ISBLANK(AO38),"",EDATE(AO38,24))</f>
        <v>46440</v>
      </c>
      <c r="AQ38" s="91">
        <v>45788</v>
      </c>
      <c r="AR38" s="91">
        <f>IF(ISBLANK(AQ38),"",EDATE(AQ38,24))</f>
        <v>46518</v>
      </c>
      <c r="AS38" s="317" t="s">
        <v>232</v>
      </c>
      <c r="AT38" s="317" t="s">
        <v>232</v>
      </c>
      <c r="AU38" s="317" t="s">
        <v>232</v>
      </c>
      <c r="AV38" s="317" t="s">
        <v>232</v>
      </c>
      <c r="AW38" s="317" t="s">
        <v>232</v>
      </c>
      <c r="AX38" s="317" t="s">
        <v>232</v>
      </c>
      <c r="AY38" s="317" t="s">
        <v>232</v>
      </c>
      <c r="AZ38" s="317" t="s">
        <v>232</v>
      </c>
      <c r="BA38" s="317" t="s">
        <v>232</v>
      </c>
      <c r="BB38" s="317" t="s">
        <v>232</v>
      </c>
      <c r="BC38" s="317" t="s">
        <v>232</v>
      </c>
      <c r="BD38" s="317" t="s">
        <v>232</v>
      </c>
      <c r="BE38" s="317" t="s">
        <v>232</v>
      </c>
      <c r="BF38" s="317" t="s">
        <v>232</v>
      </c>
      <c r="BG38" s="317" t="s">
        <v>232</v>
      </c>
      <c r="BH38" s="317" t="s">
        <v>232</v>
      </c>
      <c r="BI38" s="317" t="s">
        <v>232</v>
      </c>
      <c r="BJ38" s="317" t="s">
        <v>232</v>
      </c>
      <c r="BK38" s="91">
        <v>45456</v>
      </c>
      <c r="BL38" s="91">
        <f>IF(ISBLANK(BK38),"",EDATE(BK38,24))</f>
        <v>46186</v>
      </c>
      <c r="BM38" s="317" t="s">
        <v>232</v>
      </c>
      <c r="BN38" s="317" t="s">
        <v>232</v>
      </c>
      <c r="BO38" s="317" t="s">
        <v>232</v>
      </c>
      <c r="BP38" s="318">
        <v>45176</v>
      </c>
      <c r="BQ38" s="91">
        <v>45718</v>
      </c>
      <c r="BR38" s="91">
        <v>45709</v>
      </c>
      <c r="BS38" s="317" t="s">
        <v>232</v>
      </c>
      <c r="BT38" s="91">
        <v>45466</v>
      </c>
      <c r="BU38" s="91">
        <v>45477</v>
      </c>
      <c r="BV38" s="91">
        <v>45465</v>
      </c>
      <c r="BW38" s="91">
        <v>45910</v>
      </c>
      <c r="BX38" s="91">
        <v>45459</v>
      </c>
      <c r="BY38" s="91">
        <v>45474</v>
      </c>
      <c r="BZ38" s="91">
        <v>45480</v>
      </c>
      <c r="CA38" s="91" t="s">
        <v>232</v>
      </c>
      <c r="CB38" s="91">
        <v>45480</v>
      </c>
      <c r="CC38" s="91">
        <v>45476</v>
      </c>
      <c r="CD38" s="91">
        <v>45483</v>
      </c>
      <c r="CE38" s="91">
        <v>45526</v>
      </c>
      <c r="CF38" s="91">
        <v>45532</v>
      </c>
      <c r="CG38" s="91">
        <v>45540</v>
      </c>
      <c r="CH38" s="91">
        <v>45548</v>
      </c>
      <c r="CI38" s="91">
        <v>45559</v>
      </c>
      <c r="CJ38" s="91" t="s">
        <v>232</v>
      </c>
      <c r="CK38" s="91">
        <v>45609</v>
      </c>
      <c r="CL38" s="91">
        <v>45639</v>
      </c>
      <c r="CM38" s="91">
        <v>45701</v>
      </c>
      <c r="CN38" s="91" t="s">
        <v>232</v>
      </c>
      <c r="CO38" s="10">
        <v>45757</v>
      </c>
      <c r="CP38" s="10" t="s">
        <v>232</v>
      </c>
      <c r="CQ38" s="10" t="s">
        <v>232</v>
      </c>
      <c r="CR38" s="10" t="s">
        <v>232</v>
      </c>
      <c r="CS38" s="10">
        <v>45931</v>
      </c>
      <c r="CT38" s="11" t="s">
        <v>232</v>
      </c>
      <c r="CU38" s="11" t="s">
        <v>232</v>
      </c>
      <c r="CV38" s="10">
        <v>45953</v>
      </c>
      <c r="CW38" s="11" t="s">
        <v>232</v>
      </c>
    </row>
    <row r="39" spans="1:103" ht="15" customHeight="1">
      <c r="B39" s="331">
        <v>59</v>
      </c>
      <c r="C39" s="295" t="s">
        <v>779</v>
      </c>
      <c r="D39" s="7" t="s">
        <v>780</v>
      </c>
      <c r="E39" s="7" t="s">
        <v>781</v>
      </c>
      <c r="F39" s="9" t="s">
        <v>782</v>
      </c>
      <c r="G39" s="320" t="s">
        <v>232</v>
      </c>
      <c r="H39" s="98">
        <v>45934</v>
      </c>
      <c r="I39" s="10">
        <v>46663</v>
      </c>
      <c r="J39" s="98">
        <v>45935</v>
      </c>
      <c r="K39" s="90">
        <v>46664</v>
      </c>
      <c r="L39" s="98">
        <v>45936</v>
      </c>
      <c r="M39" s="90">
        <v>46665</v>
      </c>
      <c r="N39" s="10">
        <v>45974</v>
      </c>
      <c r="O39" s="325">
        <v>46703</v>
      </c>
      <c r="P39" s="10">
        <v>45974</v>
      </c>
      <c r="Q39" s="325">
        <v>46703</v>
      </c>
      <c r="R39" s="326">
        <v>45888</v>
      </c>
      <c r="S39" s="326">
        <v>46618</v>
      </c>
      <c r="T39" s="325">
        <v>45995</v>
      </c>
      <c r="U39" s="325">
        <v>46724</v>
      </c>
      <c r="V39" s="325">
        <v>45978</v>
      </c>
      <c r="W39" s="325">
        <v>46707</v>
      </c>
      <c r="X39" s="17">
        <v>45972</v>
      </c>
      <c r="Y39" s="17">
        <v>46701</v>
      </c>
      <c r="Z39" s="328">
        <v>45989</v>
      </c>
      <c r="AA39" s="328">
        <v>46718</v>
      </c>
      <c r="AB39" s="91">
        <v>45976</v>
      </c>
      <c r="AC39" s="91">
        <v>46705</v>
      </c>
      <c r="AD39" s="91"/>
      <c r="AE39" s="327" t="s">
        <v>232</v>
      </c>
      <c r="AF39" s="12">
        <v>45933</v>
      </c>
      <c r="AG39" s="10">
        <v>46662</v>
      </c>
      <c r="AH39" s="73">
        <v>45939</v>
      </c>
      <c r="AI39" s="10">
        <v>46668</v>
      </c>
      <c r="AJ39" s="73">
        <v>45940</v>
      </c>
      <c r="AK39" s="325">
        <v>46669</v>
      </c>
      <c r="AL39" s="329">
        <v>45941</v>
      </c>
      <c r="AM39" s="375">
        <v>46305</v>
      </c>
      <c r="AN39" s="329">
        <v>45942</v>
      </c>
      <c r="AO39" s="10">
        <v>46671</v>
      </c>
      <c r="AP39" s="91" t="s">
        <v>232</v>
      </c>
      <c r="AQ39" s="91" t="s">
        <v>232</v>
      </c>
      <c r="AR39" s="238" t="s">
        <v>232</v>
      </c>
      <c r="AS39" s="91" t="s">
        <v>232</v>
      </c>
      <c r="AT39" s="10"/>
      <c r="AU39" s="10"/>
      <c r="AV39" s="10"/>
      <c r="AW39" s="10"/>
      <c r="AX39" s="10" t="s">
        <v>232</v>
      </c>
      <c r="AY39" s="10" t="s">
        <v>232</v>
      </c>
      <c r="AZ39" s="10" t="s">
        <v>232</v>
      </c>
      <c r="BA39" s="10" t="s">
        <v>232</v>
      </c>
      <c r="BB39" s="10" t="s">
        <v>232</v>
      </c>
      <c r="BC39" s="10" t="s">
        <v>232</v>
      </c>
      <c r="BD39" s="10" t="s">
        <v>232</v>
      </c>
      <c r="BE39" s="10" t="s">
        <v>232</v>
      </c>
      <c r="BF39" s="1" t="s">
        <v>232</v>
      </c>
      <c r="BG39" s="1" t="s">
        <v>232</v>
      </c>
      <c r="BH39" s="91" t="s">
        <v>232</v>
      </c>
      <c r="BI39" s="91" t="s">
        <v>232</v>
      </c>
      <c r="BJ39" s="91" t="s">
        <v>232</v>
      </c>
      <c r="BK39" s="91" t="s">
        <v>232</v>
      </c>
      <c r="BL39" s="314" t="s">
        <v>232</v>
      </c>
      <c r="BM39" s="314" t="s">
        <v>232</v>
      </c>
      <c r="BN39" s="10" t="s">
        <v>232</v>
      </c>
      <c r="BO39" s="10" t="s">
        <v>232</v>
      </c>
      <c r="BP39" s="10" t="s">
        <v>232</v>
      </c>
      <c r="BQ39" s="10" t="s">
        <v>232</v>
      </c>
      <c r="BR39" s="10" t="s">
        <v>232</v>
      </c>
      <c r="BS39" s="10" t="s">
        <v>232</v>
      </c>
      <c r="BT39" s="10" t="s">
        <v>232</v>
      </c>
      <c r="BU39" s="10" t="s">
        <v>232</v>
      </c>
      <c r="BV39" s="10" t="s">
        <v>232</v>
      </c>
      <c r="BW39" s="10" t="s">
        <v>232</v>
      </c>
      <c r="BX39" s="10">
        <v>45910</v>
      </c>
      <c r="BY39" s="10" t="s">
        <v>232</v>
      </c>
      <c r="BZ39" s="10" t="s">
        <v>232</v>
      </c>
      <c r="CA39" s="10" t="s">
        <v>232</v>
      </c>
      <c r="CB39" s="1" t="s">
        <v>232</v>
      </c>
      <c r="CC39" s="10" t="s">
        <v>232</v>
      </c>
      <c r="CD39" s="10" t="s">
        <v>232</v>
      </c>
      <c r="CE39" s="70" t="s">
        <v>232</v>
      </c>
      <c r="CF39" s="70" t="s">
        <v>232</v>
      </c>
      <c r="CG39" s="70" t="s">
        <v>232</v>
      </c>
      <c r="CH39" s="70" t="s">
        <v>232</v>
      </c>
      <c r="CI39" s="10" t="s">
        <v>232</v>
      </c>
      <c r="CJ39" s="10" t="s">
        <v>232</v>
      </c>
      <c r="CK39" s="91" t="s">
        <v>232</v>
      </c>
      <c r="CL39" s="91" t="s">
        <v>232</v>
      </c>
      <c r="CM39" s="10" t="s">
        <v>232</v>
      </c>
      <c r="CN39" s="10" t="s">
        <v>232</v>
      </c>
      <c r="CO39" s="10" t="s">
        <v>232</v>
      </c>
      <c r="CP39" s="10" t="s">
        <v>232</v>
      </c>
      <c r="CQ39" s="10" t="s">
        <v>232</v>
      </c>
      <c r="CR39" s="10" t="s">
        <v>232</v>
      </c>
      <c r="CS39" s="10" t="s">
        <v>232</v>
      </c>
      <c r="CT39" s="11" t="s">
        <v>232</v>
      </c>
      <c r="CU39" s="11" t="s">
        <v>232</v>
      </c>
      <c r="CV39" s="11" t="s">
        <v>232</v>
      </c>
      <c r="CW39" s="11"/>
      <c r="CX39" s="11" t="s">
        <v>232</v>
      </c>
    </row>
    <row r="40" spans="1:103" ht="50.25" customHeight="1">
      <c r="B40" s="331">
        <v>77</v>
      </c>
      <c r="C40" s="295" t="s">
        <v>783</v>
      </c>
      <c r="D40" s="432" t="s">
        <v>784</v>
      </c>
      <c r="E40" s="432" t="s">
        <v>785</v>
      </c>
      <c r="F40" s="9" t="s">
        <v>715</v>
      </c>
      <c r="G40" s="446" t="s">
        <v>232</v>
      </c>
      <c r="H40" s="98"/>
      <c r="I40" s="10" t="str">
        <f>IF(ISBLANK(H40),"",EDATE(H40,24))</f>
        <v/>
      </c>
      <c r="J40" s="435">
        <v>46028</v>
      </c>
      <c r="K40" s="436">
        <f>IF(ISBLANK(J40),"",EDATE(J40,24))-1</f>
        <v>46757</v>
      </c>
      <c r="L40" s="417"/>
      <c r="M40" s="90"/>
      <c r="N40" s="10"/>
      <c r="O40" s="10"/>
      <c r="P40" s="17"/>
      <c r="Q40" s="17"/>
      <c r="R40" s="18"/>
      <c r="S40" s="18"/>
      <c r="T40" s="18"/>
      <c r="U40" s="18"/>
      <c r="V40" s="17"/>
      <c r="W40" s="17"/>
      <c r="X40" s="17"/>
      <c r="Y40" s="17"/>
      <c r="Z40" s="400"/>
      <c r="AA40" s="400"/>
      <c r="AB40" s="394"/>
      <c r="AC40" s="394"/>
      <c r="AD40" s="394"/>
      <c r="AE40" s="400"/>
      <c r="AF40" s="12"/>
      <c r="AG40" s="10" t="str">
        <f>IF(ISBLANK(AF40),"",EDATE(AF40,24))</f>
        <v/>
      </c>
      <c r="AH40" s="388"/>
      <c r="AI40" s="10" t="str">
        <f>IF(ISBLANK(AH40),"",EDATE(AH40,24))</f>
        <v/>
      </c>
      <c r="AJ40" s="388"/>
      <c r="AK40" s="38"/>
      <c r="AL40" s="395"/>
      <c r="AM40" s="38"/>
      <c r="AN40" s="395"/>
      <c r="AO40" s="10" t="str">
        <f>IF(ISBLANK(AJ40),"",EDATE(AJ40,24))</f>
        <v/>
      </c>
      <c r="AP40" s="317"/>
      <c r="AQ40" s="91"/>
      <c r="AR40" s="398"/>
      <c r="AS40" s="91"/>
      <c r="AT40" s="10"/>
      <c r="AU40" s="10"/>
      <c r="AV40" s="10"/>
      <c r="AW40" s="10"/>
      <c r="AX40" s="11"/>
      <c r="AY40" s="11"/>
      <c r="AZ40" s="11"/>
      <c r="BA40" s="11"/>
      <c r="BB40" s="11"/>
      <c r="BC40" s="11"/>
      <c r="BD40" s="11"/>
      <c r="BE40" s="11"/>
      <c r="BF40" s="399"/>
      <c r="BG40" s="399"/>
      <c r="BH40" s="317"/>
      <c r="BI40" s="317"/>
      <c r="BJ40" s="317"/>
      <c r="BK40" s="317"/>
      <c r="BL40" s="11"/>
      <c r="BM40" s="417" t="e">
        <f>IF(ISBLANK(BL40),"",EDATE(BL40,24))-1</f>
        <v>#VALUE!</v>
      </c>
      <c r="BN40" s="11"/>
      <c r="BO40" s="11"/>
      <c r="BP40" s="11"/>
      <c r="BQ40" s="11"/>
      <c r="BR40" s="11"/>
      <c r="BS40" s="11"/>
      <c r="BT40" s="11"/>
      <c r="BU40" s="10"/>
      <c r="BV40" s="11"/>
      <c r="BW40" s="11"/>
      <c r="BX40" s="11"/>
      <c r="BY40" s="10"/>
      <c r="BZ40" s="11"/>
      <c r="CA40" s="11"/>
      <c r="CB40" s="401"/>
      <c r="CC40" s="11"/>
      <c r="CD40" s="11"/>
      <c r="CE40" s="314"/>
      <c r="CF40" s="314"/>
      <c r="CG40" s="314"/>
      <c r="CH40" s="209"/>
      <c r="CI40" s="11"/>
      <c r="CJ40" s="11"/>
      <c r="CK40" s="317"/>
      <c r="CL40" s="428"/>
      <c r="CM40" s="317"/>
      <c r="CN40" s="11"/>
      <c r="CO40" s="11"/>
      <c r="CP40" s="11"/>
      <c r="CQ40" s="10"/>
      <c r="CR40" s="10"/>
      <c r="CS40" s="10"/>
      <c r="CT40" s="11"/>
      <c r="CU40" s="11"/>
      <c r="CV40" s="11"/>
      <c r="CW40" s="11"/>
      <c r="CX40" s="10"/>
      <c r="CY40" s="11"/>
    </row>
    <row r="41" spans="1:103" ht="75" customHeight="1">
      <c r="B41" s="331">
        <v>81</v>
      </c>
      <c r="C41" s="295" t="s">
        <v>786</v>
      </c>
      <c r="D41" s="433" t="s">
        <v>787</v>
      </c>
      <c r="E41" s="433" t="s">
        <v>788</v>
      </c>
      <c r="F41" s="432" t="s">
        <v>789</v>
      </c>
      <c r="G41" s="446"/>
      <c r="H41" s="98"/>
      <c r="I41" s="10" t="str">
        <f>IF(ISBLANK(H41),"",EDATE(H41,24))</f>
        <v/>
      </c>
      <c r="J41" s="98"/>
      <c r="K41" s="90"/>
      <c r="L41" s="98"/>
      <c r="M41" s="90" t="str">
        <f>IF(ISBLANK(L41),"",EDATE(L41,24))</f>
        <v/>
      </c>
      <c r="N41" s="11"/>
      <c r="O41" s="1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400"/>
      <c r="AA41" s="400"/>
      <c r="AB41" s="400"/>
      <c r="AC41" s="400"/>
      <c r="AD41" s="400"/>
      <c r="AE41" s="400"/>
      <c r="AF41" s="12"/>
      <c r="AG41" s="10" t="str">
        <f>IF(ISBLANK(AF41),"",EDATE(AF41,24))</f>
        <v/>
      </c>
      <c r="AH41" s="388"/>
      <c r="AI41" s="10" t="str">
        <f>IF(ISBLANK(AH41),"",EDATE(AH41,24))</f>
        <v/>
      </c>
      <c r="AJ41" s="388"/>
      <c r="AK41" s="38"/>
      <c r="AL41" s="395"/>
      <c r="AM41" s="38"/>
      <c r="AN41" s="388">
        <v>46032</v>
      </c>
      <c r="AO41" s="90">
        <f>IF(ISBLANK(AN41),"",EDATE(AN41,24))-1</f>
        <v>46761</v>
      </c>
      <c r="AP41" s="285"/>
      <c r="AQ41" s="90"/>
      <c r="AR41" s="398"/>
      <c r="AS41" s="90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285"/>
      <c r="BI41" s="285"/>
      <c r="BJ41" s="285"/>
      <c r="BK41" s="285"/>
      <c r="BL41" s="11"/>
      <c r="BM41" s="431"/>
      <c r="BN41" s="11"/>
      <c r="BO41" s="11"/>
      <c r="BP41" s="11"/>
      <c r="BQ41" s="10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401"/>
      <c r="CC41" s="11"/>
      <c r="CD41" s="11"/>
      <c r="CE41" s="314"/>
      <c r="CF41" s="314"/>
      <c r="CG41" s="314"/>
      <c r="CH41" s="209"/>
      <c r="CI41" s="11"/>
      <c r="CJ41" s="11"/>
      <c r="CK41" s="285"/>
      <c r="CL41" s="11"/>
      <c r="CM41" s="317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0"/>
      <c r="CY41" s="11"/>
    </row>
    <row r="42" spans="1:103" ht="50.25" customHeight="1">
      <c r="B42" s="331">
        <v>74</v>
      </c>
      <c r="C42" s="295" t="s">
        <v>790</v>
      </c>
      <c r="D42" s="384" t="s">
        <v>791</v>
      </c>
      <c r="E42" s="384" t="s">
        <v>792</v>
      </c>
      <c r="F42" s="385" t="s">
        <v>253</v>
      </c>
      <c r="G42" s="444"/>
      <c r="H42" s="290"/>
      <c r="I42" s="91" t="e">
        <f t="shared" ref="I42" si="34">IF(ISBLANK(H42),"",EDATE(H42,24))-1</f>
        <v>#VALUE!</v>
      </c>
      <c r="J42" s="290"/>
      <c r="K42" s="91" t="e">
        <f t="shared" ref="K42" si="35">IF(ISBLANK(J42),"",EDATE(J42,24))-1</f>
        <v>#VALUE!</v>
      </c>
      <c r="L42" s="290"/>
      <c r="M42" s="91" t="e">
        <f t="shared" ref="M42" si="36">IF(ISBLANK(L42),"",EDATE(L42,24))-1</f>
        <v>#VALUE!</v>
      </c>
      <c r="N42" s="11"/>
      <c r="O42" s="11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28"/>
      <c r="AA42" s="328"/>
      <c r="AB42" s="328"/>
      <c r="AC42" s="328"/>
      <c r="AD42" s="328"/>
      <c r="AE42" s="328"/>
      <c r="AF42" s="387"/>
      <c r="AG42" s="91" t="e">
        <f t="shared" ref="AG42" si="37">IF(ISBLANK(AF42),"",EDATE(AF42,24))-1</f>
        <v>#VALUE!</v>
      </c>
      <c r="AH42" s="388"/>
      <c r="AI42" s="91" t="e">
        <f t="shared" ref="AI42" si="38">IF(ISBLANK(AH42),"",EDATE(AH42,24))-1</f>
        <v>#VALUE!</v>
      </c>
      <c r="AJ42" s="388"/>
      <c r="AK42" s="91" t="e">
        <f t="shared" ref="AK42" si="39">IF(ISBLANK(AJ42),"",EDATE(AJ42,24))-1</f>
        <v>#VALUE!</v>
      </c>
      <c r="AL42" s="393"/>
      <c r="AM42" s="91" t="e">
        <f t="shared" ref="AM42" si="40">IF(ISBLANK(AL42),"",EDATE(AL42,12))-1</f>
        <v>#VALUE!</v>
      </c>
      <c r="AN42" s="393"/>
      <c r="AO42" s="91" t="e">
        <f t="shared" ref="AO42" si="41">IF(ISBLANK(AN42),"",EDATE(AN42,24))-1</f>
        <v>#VALUE!</v>
      </c>
      <c r="AP42" s="317"/>
      <c r="AQ42" s="91" t="e">
        <f t="shared" ref="AQ42" si="42">IF(ISBLANK(AP42),"",EDATE(AP42,24))-1</f>
        <v>#VALUE!</v>
      </c>
      <c r="AR42" s="398"/>
      <c r="AS42" s="91" t="e">
        <f t="shared" ref="AS42" si="43">IF(ISBLANK(AR42),"",EDATE(AR42,24))-1</f>
        <v>#VALUE!</v>
      </c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399"/>
      <c r="BG42" s="399"/>
      <c r="BH42" s="317"/>
      <c r="BI42" s="317"/>
      <c r="BJ42" s="317"/>
      <c r="BK42" s="317"/>
      <c r="BL42" s="11"/>
      <c r="BM42" s="417" t="e">
        <f t="shared" ref="BM42" si="44">IF(ISBLANK(BL42),"",EDATE(BL42,24))-1</f>
        <v>#VALUE!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399"/>
      <c r="CC42" s="11"/>
      <c r="CD42" s="11"/>
      <c r="CE42" s="70" t="s">
        <v>232</v>
      </c>
      <c r="CF42" s="70" t="s">
        <v>232</v>
      </c>
      <c r="CG42" s="70" t="s">
        <v>232</v>
      </c>
      <c r="CH42" s="70" t="s">
        <v>232</v>
      </c>
      <c r="CI42" s="11"/>
      <c r="CJ42" s="11"/>
      <c r="CK42" s="317"/>
      <c r="CL42" s="427" t="s">
        <v>232</v>
      </c>
      <c r="CM42" s="317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0"/>
      <c r="CY42" s="11"/>
    </row>
    <row r="43" spans="1:103" ht="50.25" customHeight="1">
      <c r="B43" s="331">
        <v>52</v>
      </c>
      <c r="C43" s="321" t="s">
        <v>402</v>
      </c>
      <c r="D43" s="376" t="s">
        <v>403</v>
      </c>
      <c r="E43" s="376" t="s">
        <v>404</v>
      </c>
      <c r="F43" s="377" t="s">
        <v>405</v>
      </c>
      <c r="G43" s="440" t="s">
        <v>232</v>
      </c>
      <c r="H43" s="319">
        <v>45934</v>
      </c>
      <c r="I43" s="91">
        <f>IF(ISBLANK(H43),"",EDATE(H43,24))-1</f>
        <v>46663</v>
      </c>
      <c r="J43" s="319">
        <v>45826</v>
      </c>
      <c r="K43" s="91">
        <f>IF(ISBLANK(J43),"",EDATE(J43,24))-1</f>
        <v>46555</v>
      </c>
      <c r="L43" s="91">
        <v>45827</v>
      </c>
      <c r="M43" s="91">
        <f>IF(ISBLANK(L43),"",EDATE(L43,24))-1</f>
        <v>46556</v>
      </c>
      <c r="N43" s="91">
        <v>45818</v>
      </c>
      <c r="O43" s="91">
        <f>IF(ISBLANK(N43),"",EDATE(N43,24))-1</f>
        <v>46547</v>
      </c>
      <c r="P43" s="91">
        <v>45818</v>
      </c>
      <c r="Q43" s="91">
        <f>IF(ISBLANK(P43),"",EDATE(P43,24))-1</f>
        <v>46547</v>
      </c>
      <c r="R43" s="91">
        <v>45888</v>
      </c>
      <c r="S43" s="91">
        <f>IF(ISBLANK(R43),"",EDATE(R43,24))-1</f>
        <v>46617</v>
      </c>
      <c r="T43" s="317">
        <v>45825</v>
      </c>
      <c r="U43" s="91">
        <f>IF(ISBLANK(T43),"",EDATE(T43,24))-1</f>
        <v>46554</v>
      </c>
      <c r="V43" s="325">
        <v>45978</v>
      </c>
      <c r="W43" s="91">
        <f>IF(ISBLANK(V43),"",EDATE(V43,24))-1</f>
        <v>46707</v>
      </c>
      <c r="X43" s="317">
        <v>45834</v>
      </c>
      <c r="Y43" s="91">
        <f>IF(ISBLANK(X43),"",EDATE(X43,24))-1</f>
        <v>46563</v>
      </c>
      <c r="Z43" s="327">
        <v>45989</v>
      </c>
      <c r="AA43" s="91">
        <f>IF(ISBLANK(Z43),"",EDATE(Z43,24))-1</f>
        <v>46718</v>
      </c>
      <c r="AB43" s="319">
        <v>45849</v>
      </c>
      <c r="AC43" s="91">
        <f>IF(ISBLANK(AB43),"",EDATE(AB43,24))-1</f>
        <v>46578</v>
      </c>
      <c r="AD43" s="91">
        <v>46000</v>
      </c>
      <c r="AE43" s="91">
        <f>IF(ISBLANK(AD43),"",EDATE(AD43,24))-1</f>
        <v>46729</v>
      </c>
      <c r="AF43" s="319">
        <v>45821</v>
      </c>
      <c r="AG43" s="91">
        <f>IF(ISBLANK(AF43),"",EDATE(AF43,24))-1</f>
        <v>46550</v>
      </c>
      <c r="AH43" s="319">
        <v>45939</v>
      </c>
      <c r="AI43" s="91">
        <f>IF(ISBLANK(AH43),"",EDATE(AH43,24))-1</f>
        <v>46668</v>
      </c>
      <c r="AJ43" s="319">
        <v>45940</v>
      </c>
      <c r="AK43" s="91">
        <f>IF(ISBLANK(AJ43),"",EDATE(AJ43,24))-1</f>
        <v>46669</v>
      </c>
      <c r="AL43" s="319">
        <v>45941</v>
      </c>
      <c r="AM43" s="91">
        <f>IF(ISBLANK(AL43),"",EDATE(AL43,12))-1</f>
        <v>46305</v>
      </c>
      <c r="AN43" s="319">
        <v>45942</v>
      </c>
      <c r="AO43" s="91">
        <f>IF(ISBLANK(AN43),"",EDATE(AN43,24))-1</f>
        <v>46671</v>
      </c>
      <c r="AP43" s="91">
        <v>45885</v>
      </c>
      <c r="AQ43" s="91">
        <f>IF(ISBLANK(AP43),"",EDATE(AP43,24))-1</f>
        <v>46614</v>
      </c>
      <c r="AR43" s="91" t="s">
        <v>232</v>
      </c>
      <c r="AS43" s="91" t="e">
        <f>IF(ISBLANK(AR43),"",EDATE(AR43,24))-1</f>
        <v>#VALUE!</v>
      </c>
      <c r="AT43" s="91" t="s">
        <v>231</v>
      </c>
      <c r="AU43" s="317" t="s">
        <v>231</v>
      </c>
      <c r="AV43" s="91" t="s">
        <v>231</v>
      </c>
      <c r="AW43" s="91" t="e">
        <f>IF(ISBLANK(AV43),"",EDATE(AV43,24))-1</f>
        <v>#VALUE!</v>
      </c>
      <c r="AX43" s="91" t="s">
        <v>231</v>
      </c>
      <c r="AY43" s="91" t="e">
        <f>IF(ISBLANK(AX43),"",EDATE(AX43,24))-1</f>
        <v>#VALUE!</v>
      </c>
      <c r="AZ43" s="91" t="s">
        <v>231</v>
      </c>
      <c r="BA43" s="91" t="e">
        <f>IF(ISBLANK(AZ43),"",EDATE(AZ43,24))-1</f>
        <v>#VALUE!</v>
      </c>
      <c r="BB43" s="91" t="s">
        <v>231</v>
      </c>
      <c r="BC43" s="91" t="e">
        <f>IF(ISBLANK(BB43),"",EDATE(BB43,24))-1</f>
        <v>#VALUE!</v>
      </c>
      <c r="BD43" s="91" t="s">
        <v>231</v>
      </c>
      <c r="BE43" s="91" t="e">
        <f>IF(ISBLANK(BD43),"",EDATE(BD43,24))-1</f>
        <v>#VALUE!</v>
      </c>
      <c r="BF43" s="91" t="s">
        <v>231</v>
      </c>
      <c r="BG43" s="91" t="s">
        <v>231</v>
      </c>
      <c r="BH43" s="91" t="s">
        <v>231</v>
      </c>
      <c r="BI43" s="91" t="s">
        <v>231</v>
      </c>
      <c r="BJ43" s="91" t="s">
        <v>231</v>
      </c>
      <c r="BK43" s="91" t="s">
        <v>231</v>
      </c>
      <c r="BL43" s="91" t="s">
        <v>232</v>
      </c>
      <c r="BM43" s="91" t="e">
        <f>IF(ISBLANK(BL43),"",EDATE(BL43,24))-1</f>
        <v>#VALUE!</v>
      </c>
      <c r="BN43" s="91" t="s">
        <v>231</v>
      </c>
      <c r="BO43" s="91" t="s">
        <v>231</v>
      </c>
      <c r="BP43" s="91" t="s">
        <v>231</v>
      </c>
      <c r="BQ43" s="91" t="s">
        <v>231</v>
      </c>
      <c r="BR43" s="91" t="s">
        <v>231</v>
      </c>
      <c r="BS43" s="91" t="s">
        <v>231</v>
      </c>
      <c r="BT43" s="91" t="s">
        <v>231</v>
      </c>
      <c r="BU43" s="91" t="s">
        <v>232</v>
      </c>
      <c r="BV43" s="91" t="s">
        <v>232</v>
      </c>
      <c r="BW43" s="91" t="s">
        <v>232</v>
      </c>
      <c r="BX43" s="91" t="s">
        <v>232</v>
      </c>
      <c r="BY43" s="91" t="s">
        <v>232</v>
      </c>
      <c r="BZ43" s="91" t="s">
        <v>232</v>
      </c>
      <c r="CA43" s="91" t="s">
        <v>232</v>
      </c>
      <c r="CB43" s="91" t="s">
        <v>232</v>
      </c>
      <c r="CC43" s="91" t="s">
        <v>232</v>
      </c>
      <c r="CD43" s="91" t="s">
        <v>232</v>
      </c>
      <c r="CE43" s="91" t="s">
        <v>232</v>
      </c>
      <c r="CF43" s="91" t="s">
        <v>232</v>
      </c>
      <c r="CG43" s="91" t="s">
        <v>232</v>
      </c>
      <c r="CH43" s="91" t="s">
        <v>232</v>
      </c>
      <c r="CI43" s="91" t="s">
        <v>232</v>
      </c>
      <c r="CJ43" s="91" t="s">
        <v>232</v>
      </c>
      <c r="CK43" s="91" t="s">
        <v>232</v>
      </c>
      <c r="CL43" s="11" t="s">
        <v>232</v>
      </c>
      <c r="CM43" s="91" t="s">
        <v>232</v>
      </c>
      <c r="CN43" s="91" t="s">
        <v>232</v>
      </c>
      <c r="CO43" s="91" t="s">
        <v>232</v>
      </c>
      <c r="CP43" s="91" t="s">
        <v>232</v>
      </c>
      <c r="CQ43" s="38" t="s">
        <v>232</v>
      </c>
      <c r="CR43" s="38" t="s">
        <v>232</v>
      </c>
      <c r="CS43" s="38" t="s">
        <v>232</v>
      </c>
      <c r="CT43" s="38" t="s">
        <v>232</v>
      </c>
      <c r="CU43" s="38" t="s">
        <v>232</v>
      </c>
      <c r="CV43" s="39" t="s">
        <v>232</v>
      </c>
      <c r="CW43" s="39" t="s">
        <v>232</v>
      </c>
      <c r="CX43" s="11"/>
      <c r="CY43" s="11"/>
    </row>
    <row r="44" spans="1:103" ht="50.25" customHeight="1">
      <c r="B44" s="331">
        <v>58</v>
      </c>
      <c r="C44" s="295" t="s">
        <v>427</v>
      </c>
      <c r="D44" s="384" t="s">
        <v>428</v>
      </c>
      <c r="E44" s="384" t="s">
        <v>429</v>
      </c>
      <c r="F44" s="385" t="s">
        <v>430</v>
      </c>
      <c r="G44" s="440" t="s">
        <v>232</v>
      </c>
      <c r="H44" s="290">
        <v>45934</v>
      </c>
      <c r="I44" s="91">
        <f>IF(ISBLANK(H44),"",EDATE(H44,24))-1</f>
        <v>46663</v>
      </c>
      <c r="J44" s="290">
        <v>45935</v>
      </c>
      <c r="K44" s="91">
        <f>IF(ISBLANK(J44),"",EDATE(J44,24))-1</f>
        <v>46664</v>
      </c>
      <c r="L44" s="290">
        <v>45936</v>
      </c>
      <c r="M44" s="91">
        <f>IF(ISBLANK(L44),"",EDATE(L44,24))-1</f>
        <v>46665</v>
      </c>
      <c r="N44" s="10">
        <v>45974</v>
      </c>
      <c r="O44" s="325">
        <v>46703</v>
      </c>
      <c r="P44" s="10">
        <v>45974</v>
      </c>
      <c r="Q44" s="91">
        <f>IF(ISBLANK(P44),"",EDATE(P44,24))-1</f>
        <v>46703</v>
      </c>
      <c r="R44" s="325" t="s">
        <v>232</v>
      </c>
      <c r="S44" s="325" t="s">
        <v>232</v>
      </c>
      <c r="T44" s="325">
        <v>45995</v>
      </c>
      <c r="U44" s="91">
        <f>IF(ISBLANK(T44),"",EDATE(T44,24))-1</f>
        <v>46724</v>
      </c>
      <c r="V44" s="325">
        <v>45978</v>
      </c>
      <c r="W44" s="91">
        <f>IF(ISBLANK(V44),"",EDATE(V44,24))-1</f>
        <v>46707</v>
      </c>
      <c r="X44" s="17">
        <v>45972</v>
      </c>
      <c r="Y44" s="91">
        <f>IF(ISBLANK(X44),"",EDATE(X44,24))-1</f>
        <v>46701</v>
      </c>
      <c r="Z44" s="328">
        <v>45989</v>
      </c>
      <c r="AA44" s="91">
        <f>IF(ISBLANK(Z44),"",EDATE(Z44,24))-1</f>
        <v>46718</v>
      </c>
      <c r="AB44" s="91">
        <v>45976</v>
      </c>
      <c r="AC44" s="91">
        <f>IF(ISBLANK(AB44),"",EDATE(AB44,24))-1</f>
        <v>46705</v>
      </c>
      <c r="AD44" s="91">
        <v>46000</v>
      </c>
      <c r="AE44" s="91">
        <f>IF(ISBLANK(AD44),"",EDATE(AD44,24))-1</f>
        <v>46729</v>
      </c>
      <c r="AF44" s="387">
        <v>45933</v>
      </c>
      <c r="AG44" s="91">
        <f>IF(ISBLANK(AF44),"",EDATE(AF44,24))-1</f>
        <v>46662</v>
      </c>
      <c r="AH44" s="388">
        <v>45939</v>
      </c>
      <c r="AI44" s="91">
        <f>IF(ISBLANK(AH44),"",EDATE(AH44,24))-1</f>
        <v>46668</v>
      </c>
      <c r="AJ44" s="388">
        <v>45940</v>
      </c>
      <c r="AK44" s="91">
        <f>IF(ISBLANK(AJ44),"",EDATE(AJ44,24))-1</f>
        <v>46669</v>
      </c>
      <c r="AL44" s="393">
        <v>45941</v>
      </c>
      <c r="AM44" s="91">
        <f>IF(ISBLANK(AL44),"",EDATE(AL44,12))-1</f>
        <v>46305</v>
      </c>
      <c r="AN44" s="393">
        <v>45942</v>
      </c>
      <c r="AO44" s="91">
        <f>IF(ISBLANK(AN44),"",EDATE(AN44,24))-1</f>
        <v>46671</v>
      </c>
      <c r="AP44" s="91" t="s">
        <v>232</v>
      </c>
      <c r="AQ44" s="91" t="e">
        <f>IF(ISBLANK(AP44),"",EDATE(AP44,24))-1</f>
        <v>#VALUE!</v>
      </c>
      <c r="AR44" s="238" t="s">
        <v>232</v>
      </c>
      <c r="AS44" s="91" t="e">
        <f>IF(ISBLANK(AR44),"",EDATE(AR44,24))-1</f>
        <v>#VALUE!</v>
      </c>
      <c r="AT44" s="10"/>
      <c r="AU44" s="91" t="e">
        <f>IF(ISBLANK(AT44),"",EDATE(AT44,24))-1</f>
        <v>#VALUE!</v>
      </c>
      <c r="AV44" s="10"/>
      <c r="AW44" s="91" t="e">
        <f>IF(ISBLANK(AV44),"",EDATE(AV44,24))-1</f>
        <v>#VALUE!</v>
      </c>
      <c r="AX44" s="10" t="s">
        <v>232</v>
      </c>
      <c r="AY44" s="91" t="e">
        <f>IF(ISBLANK(AX44),"",EDATE(AX44,24))-1</f>
        <v>#VALUE!</v>
      </c>
      <c r="AZ44" s="10" t="s">
        <v>232</v>
      </c>
      <c r="BA44" s="91" t="e">
        <f>IF(ISBLANK(AZ44),"",EDATE(AZ44,24))-1</f>
        <v>#VALUE!</v>
      </c>
      <c r="BB44" s="10" t="s">
        <v>232</v>
      </c>
      <c r="BC44" s="91" t="e">
        <f>IF(ISBLANK(BB44),"",EDATE(BB44,24))-1</f>
        <v>#VALUE!</v>
      </c>
      <c r="BD44" s="10" t="s">
        <v>232</v>
      </c>
      <c r="BE44" s="91" t="e">
        <f>IF(ISBLANK(BD44),"",EDATE(BD44,24))-1</f>
        <v>#VALUE!</v>
      </c>
      <c r="BF44" s="1" t="s">
        <v>232</v>
      </c>
      <c r="BG44" s="1" t="s">
        <v>232</v>
      </c>
      <c r="BH44" s="91" t="s">
        <v>232</v>
      </c>
      <c r="BI44" s="91" t="s">
        <v>232</v>
      </c>
      <c r="BJ44" s="91" t="s">
        <v>232</v>
      </c>
      <c r="BK44" s="91" t="s">
        <v>232</v>
      </c>
      <c r="BL44" s="10" t="s">
        <v>232</v>
      </c>
      <c r="BM44" s="91" t="e">
        <f>IF(ISBLANK(BL44),"",EDATE(BL44,24))-1</f>
        <v>#VALUE!</v>
      </c>
      <c r="BN44" s="10" t="s">
        <v>232</v>
      </c>
      <c r="BO44" s="10" t="s">
        <v>232</v>
      </c>
      <c r="BP44" s="10" t="s">
        <v>232</v>
      </c>
      <c r="BQ44" s="10" t="s">
        <v>232</v>
      </c>
      <c r="BR44" s="10" t="s">
        <v>232</v>
      </c>
      <c r="BS44" s="10" t="s">
        <v>232</v>
      </c>
      <c r="BT44" s="10" t="s">
        <v>232</v>
      </c>
      <c r="BU44" s="10">
        <v>45993</v>
      </c>
      <c r="BV44" s="10" t="s">
        <v>232</v>
      </c>
      <c r="BW44" s="10">
        <v>46007</v>
      </c>
      <c r="BX44" s="10">
        <v>45910</v>
      </c>
      <c r="BY44" s="10">
        <v>45992</v>
      </c>
      <c r="BZ44" s="10">
        <v>46013</v>
      </c>
      <c r="CA44" s="10">
        <v>46007</v>
      </c>
      <c r="CB44" s="1" t="s">
        <v>232</v>
      </c>
      <c r="CC44" s="10" t="s">
        <v>232</v>
      </c>
      <c r="CD44" s="10" t="s">
        <v>232</v>
      </c>
      <c r="CE44" s="70" t="s">
        <v>232</v>
      </c>
      <c r="CF44" s="70" t="s">
        <v>232</v>
      </c>
      <c r="CG44" s="70" t="s">
        <v>232</v>
      </c>
      <c r="CH44" s="70" t="s">
        <v>232</v>
      </c>
      <c r="CI44" s="10" t="s">
        <v>232</v>
      </c>
      <c r="CJ44" s="10" t="s">
        <v>232</v>
      </c>
      <c r="CK44" s="91" t="s">
        <v>232</v>
      </c>
      <c r="CL44" s="11" t="s">
        <v>232</v>
      </c>
      <c r="CM44" s="91" t="s">
        <v>232</v>
      </c>
      <c r="CN44" s="10" t="s">
        <v>232</v>
      </c>
      <c r="CO44" s="10" t="s">
        <v>232</v>
      </c>
      <c r="CP44" s="10" t="s">
        <v>232</v>
      </c>
      <c r="CQ44" s="10">
        <v>46002</v>
      </c>
      <c r="CR44" s="10">
        <v>46002</v>
      </c>
      <c r="CS44" s="10">
        <v>46002</v>
      </c>
      <c r="CT44" s="10" t="s">
        <v>232</v>
      </c>
      <c r="CU44" s="10" t="s">
        <v>232</v>
      </c>
      <c r="CV44" s="11" t="s">
        <v>232</v>
      </c>
      <c r="CW44" s="11" t="s">
        <v>232</v>
      </c>
      <c r="CX44" s="11"/>
      <c r="CY44" s="11"/>
    </row>
  </sheetData>
  <autoFilter ref="A3:AH6" xr:uid="{A6A6CCC5-5C46-4BC6-9B67-BC8A0CB6A752}">
    <filterColumn colId="2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</autoFilter>
  <mergeCells count="9">
    <mergeCell ref="AZ2:BL2"/>
    <mergeCell ref="AC2:AH2"/>
    <mergeCell ref="AO2:AY2"/>
    <mergeCell ref="A1:AP1"/>
    <mergeCell ref="A3:A4"/>
    <mergeCell ref="B3:B4"/>
    <mergeCell ref="C3:D4"/>
    <mergeCell ref="E3:E4"/>
    <mergeCell ref="G2:AB2"/>
  </mergeCells>
  <phoneticPr fontId="12" type="noConversion"/>
  <conditionalFormatting sqref="H5:H10 J5:J10 AW8:AY8 M9 O9:P9 AG9:AP9 AW9:AX9 AV11:AY11 AV13:AY15 U30 W30">
    <cfRule type="expression" dxfId="531" priority="696" stopIfTrue="1">
      <formula>H5&lt;=TODAY()</formula>
    </cfRule>
  </conditionalFormatting>
  <conditionalFormatting sqref="H5:H10 J5:J10 AW8:AY8 M9 O9:P9 AG9:AP9 AW9:AX9 AV11:AY11 AV13:AY15">
    <cfRule type="expression" dxfId="530" priority="695" stopIfTrue="1">
      <formula xml:space="preserve"> AND(H5&gt;TODAY(),H5-TODAY()&lt;=180)</formula>
    </cfRule>
  </conditionalFormatting>
  <conditionalFormatting sqref="H12:H22">
    <cfRule type="expression" dxfId="529" priority="456" stopIfTrue="1">
      <formula xml:space="preserve"> AND(H12&gt;TODAY(),H12-TODAY()&lt;=180)</formula>
    </cfRule>
    <cfRule type="expression" dxfId="528" priority="457" stopIfTrue="1">
      <formula>H12&lt;=TODAY()</formula>
    </cfRule>
  </conditionalFormatting>
  <conditionalFormatting sqref="H29 N29 AR29:AT29">
    <cfRule type="expression" dxfId="527" priority="297" stopIfTrue="1">
      <formula>H29&lt;=TODAY()</formula>
    </cfRule>
    <cfRule type="expression" dxfId="526" priority="296" stopIfTrue="1">
      <formula xml:space="preserve"> AND(H29&gt;TODAY(),H29-TODAY()&lt;=180)</formula>
    </cfRule>
  </conditionalFormatting>
  <conditionalFormatting sqref="H32:H37 V32:V37 AF32:AF37 AH32:AH37 AJ32:AJ37 AL32:AL37 AN32:AN37 AR36:AR37 H45:H1048576 V45:V1048576 AF45:AF1048576">
    <cfRule type="expression" dxfId="525" priority="28" stopIfTrue="1">
      <formula xml:space="preserve"> AND(H32&gt;TODAY(),H32-TODAY()&lt;=180)</formula>
    </cfRule>
  </conditionalFormatting>
  <conditionalFormatting sqref="I43:BM44">
    <cfRule type="expression" dxfId="524" priority="1" stopIfTrue="1">
      <formula>AND(ISODD(COLUMN(I43)), I43&lt;&gt;"", I43-TODAY() &lt;= 90)</formula>
    </cfRule>
    <cfRule type="expression" dxfId="523" priority="2">
      <formula>AND(ISODD(COLUMN(I43)), YEAR(I43)=YEAR(TODAY()), I43-TODAY()&gt;90, I43-TODAY()&lt;=365)</formula>
    </cfRule>
  </conditionalFormatting>
  <conditionalFormatting sqref="J12:J18">
    <cfRule type="expression" dxfId="522" priority="545" stopIfTrue="1">
      <formula>J12&lt;=TODAY()</formula>
    </cfRule>
    <cfRule type="expression" dxfId="521" priority="544" stopIfTrue="1">
      <formula xml:space="preserve"> AND(J12&gt;TODAY(),J12-TODAY()&lt;=180)</formula>
    </cfRule>
  </conditionalFormatting>
  <conditionalFormatting sqref="J20:J22">
    <cfRule type="expression" dxfId="520" priority="451" stopIfTrue="1">
      <formula>J20&lt;=TODAY()</formula>
    </cfRule>
    <cfRule type="expression" dxfId="519" priority="450" stopIfTrue="1">
      <formula xml:space="preserve"> AND(J20&gt;TODAY(),J20-TODAY()&lt;=180)</formula>
    </cfRule>
  </conditionalFormatting>
  <conditionalFormatting sqref="J26:J28 J45:J1048576">
    <cfRule type="expression" dxfId="518" priority="305" stopIfTrue="1">
      <formula>J26&lt;=TODAY()</formula>
    </cfRule>
  </conditionalFormatting>
  <conditionalFormatting sqref="J29 AL29 AG30 H29 N29 AH29 AJ29 AP29 AI30 AO30">
    <cfRule type="expression" dxfId="517" priority="295" stopIfTrue="1">
      <formula>H29&lt;=TODAY()</formula>
    </cfRule>
  </conditionalFormatting>
  <conditionalFormatting sqref="J32">
    <cfRule type="expression" dxfId="516" priority="189" stopIfTrue="1">
      <formula>J32&lt;=TODAY()</formula>
    </cfRule>
  </conditionalFormatting>
  <conditionalFormatting sqref="L4:L23 Z19:Z23">
    <cfRule type="expression" dxfId="515" priority="431" stopIfTrue="1">
      <formula>L4&lt;=TODAY()</formula>
    </cfRule>
  </conditionalFormatting>
  <conditionalFormatting sqref="L4:L23">
    <cfRule type="expression" dxfId="514" priority="430" stopIfTrue="1">
      <formula xml:space="preserve"> AND(L4&gt;TODAY(),L4-TODAY()&lt;=180)</formula>
    </cfRule>
  </conditionalFormatting>
  <conditionalFormatting sqref="L32:L35 J34:J35 AR35:AX35 BE35:BF35 BO35">
    <cfRule type="expression" dxfId="513" priority="82" stopIfTrue="1">
      <formula>J32&lt;=TODAY()</formula>
    </cfRule>
  </conditionalFormatting>
  <conditionalFormatting sqref="L32:L35 J34:J35 BE34:BF35 AR35:AX35 BO35">
    <cfRule type="expression" dxfId="512" priority="89" stopIfTrue="1">
      <formula xml:space="preserve"> AND(J32&gt;TODAY(),J32-TODAY()&lt;=180)</formula>
    </cfRule>
  </conditionalFormatting>
  <conditionalFormatting sqref="M18">
    <cfRule type="expression" dxfId="511" priority="535" stopIfTrue="1">
      <formula>M18&lt;=TODAY()</formula>
    </cfRule>
    <cfRule type="expression" dxfId="510" priority="534" stopIfTrue="1">
      <formula xml:space="preserve"> AND(M18&gt;TODAY(),M18-TODAY()&lt;=180)</formula>
    </cfRule>
  </conditionalFormatting>
  <conditionalFormatting sqref="M27">
    <cfRule type="expression" dxfId="509" priority="351" stopIfTrue="1">
      <formula>M27&lt;=TODAY()</formula>
    </cfRule>
    <cfRule type="expression" dxfId="508" priority="350" stopIfTrue="1">
      <formula xml:space="preserve"> AND(M27&gt;TODAY(),M27-TODAY()&lt;=180)</formula>
    </cfRule>
  </conditionalFormatting>
  <conditionalFormatting sqref="M5:N5 Q5:V5 Z5:AD5 X5:X6">
    <cfRule type="expression" dxfId="507" priority="834" stopIfTrue="1">
      <formula>M5&lt;=TODAY()</formula>
    </cfRule>
  </conditionalFormatting>
  <conditionalFormatting sqref="M5:N5 Q5:V5 Z5:AD5">
    <cfRule type="expression" dxfId="506" priority="833" stopIfTrue="1">
      <formula xml:space="preserve"> AND(M5&gt;TODAY(),M5-TODAY()&lt;=180)</formula>
    </cfRule>
  </conditionalFormatting>
  <conditionalFormatting sqref="N4 R4 T4 V4 AB4 AD4 AR4:AV4 AF4:AF5 AH4:AN5">
    <cfRule type="expression" dxfId="505" priority="736" stopIfTrue="1">
      <formula>N4&lt;=TODAY()</formula>
    </cfRule>
    <cfRule type="expression" dxfId="504" priority="735" stopIfTrue="1">
      <formula xml:space="preserve"> AND(N4&gt;TODAY(),N4-TODAY()&lt;=180)</formula>
    </cfRule>
  </conditionalFormatting>
  <conditionalFormatting sqref="N6:N11 P10:P11">
    <cfRule type="expression" dxfId="503" priority="662" stopIfTrue="1">
      <formula xml:space="preserve"> AND(N6&gt;TODAY(),N6-TODAY()&lt;=180)</formula>
    </cfRule>
    <cfRule type="expression" dxfId="502" priority="663" stopIfTrue="1">
      <formula>N6&lt;=TODAY()</formula>
    </cfRule>
  </conditionalFormatting>
  <conditionalFormatting sqref="N13:N29 H26:H29 AR29 AT29 J26:J29 AH28:AH29 AJ29 AL29 AP29 AI30 AO30 L25:L29 AV29 AU30 AK30">
    <cfRule type="expression" dxfId="501" priority="298" stopIfTrue="1">
      <formula xml:space="preserve"> AND(H13&gt;TODAY(),H13-TODAY()&lt;=180)</formula>
    </cfRule>
  </conditionalFormatting>
  <conditionalFormatting sqref="N13:N29 AJ29 AR29">
    <cfRule type="expression" dxfId="500" priority="299" stopIfTrue="1">
      <formula>N13&lt;=TODAY()</formula>
    </cfRule>
  </conditionalFormatting>
  <conditionalFormatting sqref="N32:N35">
    <cfRule type="expression" dxfId="499" priority="75" stopIfTrue="1">
      <formula xml:space="preserve"> AND(N32&gt;TODAY(),N32-TODAY()&lt;=180)</formula>
    </cfRule>
    <cfRule type="expression" dxfId="498" priority="76" stopIfTrue="1">
      <formula>N32&lt;=TODAY()</formula>
    </cfRule>
  </conditionalFormatting>
  <conditionalFormatting sqref="N45:N1048576">
    <cfRule type="expression" dxfId="497" priority="101" stopIfTrue="1">
      <formula xml:space="preserve"> AND(N45&gt;TODAY(),N45-TODAY()&lt;=180)</formula>
    </cfRule>
    <cfRule type="expression" dxfId="496" priority="102" stopIfTrue="1">
      <formula>N45&lt;=TODAY()</formula>
    </cfRule>
  </conditionalFormatting>
  <conditionalFormatting sqref="O18:P18">
    <cfRule type="expression" dxfId="495" priority="533" stopIfTrue="1">
      <formula>O18&lt;=TODAY()</formula>
    </cfRule>
    <cfRule type="expression" dxfId="494" priority="532" stopIfTrue="1">
      <formula xml:space="preserve"> AND(O18&gt;TODAY(),O18-TODAY()&lt;=180)</formula>
    </cfRule>
  </conditionalFormatting>
  <conditionalFormatting sqref="O27:T27">
    <cfRule type="expression" dxfId="493" priority="348" stopIfTrue="1">
      <formula xml:space="preserve"> AND(O27&gt;TODAY(),O27-TODAY()&lt;=180)</formula>
    </cfRule>
    <cfRule type="expression" dxfId="492" priority="349" stopIfTrue="1">
      <formula>O27&lt;=TODAY()</formula>
    </cfRule>
  </conditionalFormatting>
  <conditionalFormatting sqref="P4:P7 AP4:AP8 R7 AD7 AH7:AN7 O8:R8">
    <cfRule type="expression" dxfId="491" priority="730" stopIfTrue="1">
      <formula>O4&lt;=TODAY()</formula>
    </cfRule>
    <cfRule type="expression" dxfId="490" priority="729" stopIfTrue="1">
      <formula xml:space="preserve"> AND(O4&gt;TODAY(),O4-TODAY()&lt;=180)</formula>
    </cfRule>
  </conditionalFormatting>
  <conditionalFormatting sqref="P13:P17 AC13:AN17 AV17">
    <cfRule type="expression" dxfId="489" priority="551" stopIfTrue="1">
      <formula>P13&lt;=TODAY()</formula>
    </cfRule>
    <cfRule type="expression" dxfId="488" priority="550" stopIfTrue="1">
      <formula xml:space="preserve"> AND(P13&gt;TODAY(),P13-TODAY()&lt;=180)</formula>
    </cfRule>
  </conditionalFormatting>
  <conditionalFormatting sqref="P19:P26 R9:R26 AF25:AF26">
    <cfRule type="expression" dxfId="487" priority="384" stopIfTrue="1">
      <formula>P9&lt;=TODAY()</formula>
    </cfRule>
  </conditionalFormatting>
  <conditionalFormatting sqref="P19:P26">
    <cfRule type="expression" dxfId="486" priority="378" stopIfTrue="1">
      <formula xml:space="preserve"> AND(P19&gt;TODAY(),P19-TODAY()&lt;=180)</formula>
    </cfRule>
  </conditionalFormatting>
  <conditionalFormatting sqref="P28:P29">
    <cfRule type="expression" dxfId="485" priority="293" stopIfTrue="1">
      <formula>P28&lt;=TODAY()</formula>
    </cfRule>
    <cfRule type="expression" dxfId="484" priority="292" stopIfTrue="1">
      <formula xml:space="preserve"> AND(P28&gt;TODAY(),P28-TODAY()&lt;=180)</formula>
    </cfRule>
  </conditionalFormatting>
  <conditionalFormatting sqref="P29 R29 AT29 L29">
    <cfRule type="expression" dxfId="483" priority="256" stopIfTrue="1">
      <formula>L29&lt;=TODAY()</formula>
    </cfRule>
  </conditionalFormatting>
  <conditionalFormatting sqref="P32:P35">
    <cfRule type="expression" dxfId="482" priority="78" stopIfTrue="1">
      <formula>P32&lt;=TODAY()</formula>
    </cfRule>
    <cfRule type="expression" dxfId="481" priority="77" stopIfTrue="1">
      <formula xml:space="preserve"> AND(P32&gt;TODAY(),P32-TODAY()&lt;=180)</formula>
    </cfRule>
  </conditionalFormatting>
  <conditionalFormatting sqref="P45:P1048576">
    <cfRule type="expression" dxfId="480" priority="103" stopIfTrue="1">
      <formula xml:space="preserve"> AND(P45&gt;TODAY(),P45-TODAY()&lt;=180)</formula>
    </cfRule>
    <cfRule type="expression" dxfId="479" priority="104" stopIfTrue="1">
      <formula>P45&lt;=TODAY()</formula>
    </cfRule>
  </conditionalFormatting>
  <conditionalFormatting sqref="R3:R4 V3:V4">
    <cfRule type="expression" dxfId="478" priority="738" stopIfTrue="1">
      <formula>R3&lt;=TODAY()</formula>
    </cfRule>
    <cfRule type="expression" dxfId="477" priority="737" stopIfTrue="1">
      <formula xml:space="preserve"> AND(R3&gt;TODAY(),R3-TODAY()&lt;=180)</formula>
    </cfRule>
  </conditionalFormatting>
  <conditionalFormatting sqref="R9:R26">
    <cfRule type="expression" dxfId="476" priority="377" stopIfTrue="1">
      <formula xml:space="preserve"> AND(R9&gt;TODAY(),R9-TODAY()&lt;=180)</formula>
    </cfRule>
  </conditionalFormatting>
  <conditionalFormatting sqref="R28:R29">
    <cfRule type="expression" dxfId="475" priority="275" stopIfTrue="1">
      <formula xml:space="preserve"> AND(R28&gt;TODAY(),R28-TODAY()&lt;=180)</formula>
    </cfRule>
    <cfRule type="expression" dxfId="474" priority="276" stopIfTrue="1">
      <formula>R28&lt;=TODAY()</formula>
    </cfRule>
  </conditionalFormatting>
  <conditionalFormatting sqref="R32:R34 R45:R1048576">
    <cfRule type="expression" dxfId="473" priority="106" stopIfTrue="1">
      <formula>R32&lt;=TODAY()</formula>
    </cfRule>
  </conditionalFormatting>
  <conditionalFormatting sqref="R32:R37 R45:R1048576">
    <cfRule type="expression" dxfId="472" priority="23" stopIfTrue="1">
      <formula xml:space="preserve"> AND(R32&gt;TODAY(),R32-TODAY()&lt;=180)</formula>
    </cfRule>
  </conditionalFormatting>
  <conditionalFormatting sqref="R35:R37">
    <cfRule type="expression" dxfId="471" priority="21" stopIfTrue="1">
      <formula>R35&lt;=TODAY()</formula>
    </cfRule>
  </conditionalFormatting>
  <conditionalFormatting sqref="R6:T6">
    <cfRule type="expression" dxfId="470" priority="758" stopIfTrue="1">
      <formula>R6&lt;=TODAY()</formula>
    </cfRule>
    <cfRule type="expression" dxfId="469" priority="757" stopIfTrue="1">
      <formula xml:space="preserve"> AND(R6&gt;TODAY(),R6-TODAY()&lt;=180)</formula>
    </cfRule>
  </conditionalFormatting>
  <conditionalFormatting sqref="T7:T26">
    <cfRule type="expression" dxfId="468" priority="380" stopIfTrue="1">
      <formula>T7&lt;=TODAY()</formula>
    </cfRule>
    <cfRule type="expression" dxfId="467" priority="379" stopIfTrue="1">
      <formula xml:space="preserve"> AND(T7&gt;TODAY(),T7-TODAY()&lt;=180)</formula>
    </cfRule>
  </conditionalFormatting>
  <conditionalFormatting sqref="T28:T29">
    <cfRule type="expression" dxfId="466" priority="274" stopIfTrue="1">
      <formula>T28&lt;=TODAY()</formula>
    </cfRule>
    <cfRule type="expression" dxfId="465" priority="273" stopIfTrue="1">
      <formula xml:space="preserve"> AND(T28&gt;TODAY(),T28-TODAY()&lt;=180)</formula>
    </cfRule>
  </conditionalFormatting>
  <conditionalFormatting sqref="T29">
    <cfRule type="expression" dxfId="464" priority="266" stopIfTrue="1">
      <formula>T29&lt;=TODAY()</formula>
    </cfRule>
    <cfRule type="expression" dxfId="463" priority="265" stopIfTrue="1">
      <formula xml:space="preserve"> AND(T29&gt;TODAY(),T29-TODAY()&lt;=180)</formula>
    </cfRule>
  </conditionalFormatting>
  <conditionalFormatting sqref="T32:T37 X33:X37 T45:T1048576 X45:X1048576">
    <cfRule type="expression" dxfId="462" priority="31" stopIfTrue="1">
      <formula>T32&lt;=TODAY()</formula>
    </cfRule>
    <cfRule type="expression" dxfId="461" priority="30" stopIfTrue="1">
      <formula xml:space="preserve"> AND(T32&gt;TODAY(),T32-TODAY()&lt;=180)</formula>
    </cfRule>
  </conditionalFormatting>
  <conditionalFormatting sqref="U25:Z27">
    <cfRule type="expression" dxfId="460" priority="335" stopIfTrue="1">
      <formula>U25&lt;=TODAY()</formula>
    </cfRule>
    <cfRule type="expression" dxfId="459" priority="334" stopIfTrue="1">
      <formula xml:space="preserve"> AND(U25&gt;TODAY(),U25-TODAY()&lt;=180)</formula>
    </cfRule>
  </conditionalFormatting>
  <conditionalFormatting sqref="V6:V24 X11:X24 H24">
    <cfRule type="expression" dxfId="458" priority="419" stopIfTrue="1">
      <formula>H6&lt;=TODAY()</formula>
    </cfRule>
  </conditionalFormatting>
  <conditionalFormatting sqref="V6:V24 X12:X24 H24">
    <cfRule type="expression" dxfId="457" priority="418" stopIfTrue="1">
      <formula xml:space="preserve"> AND(H6&gt;TODAY(),H6-TODAY()&lt;=180)</formula>
    </cfRule>
  </conditionalFormatting>
  <conditionalFormatting sqref="V28:V29">
    <cfRule type="expression" dxfId="456" priority="311" stopIfTrue="1">
      <formula>V28&lt;=TODAY()</formula>
    </cfRule>
    <cfRule type="expression" dxfId="455" priority="310" stopIfTrue="1">
      <formula xml:space="preserve"> AND(V28&gt;TODAY(),V28-TODAY()&lt;=180)</formula>
    </cfRule>
  </conditionalFormatting>
  <conditionalFormatting sqref="V29">
    <cfRule type="expression" dxfId="454" priority="272" stopIfTrue="1">
      <formula>V29&lt;=TODAY()</formula>
    </cfRule>
    <cfRule type="expression" dxfId="453" priority="271" stopIfTrue="1">
      <formula xml:space="preserve"> AND(V29&gt;TODAY(),V29-TODAY()&lt;=180)</formula>
    </cfRule>
  </conditionalFormatting>
  <conditionalFormatting sqref="V32:V34 V45:V1048576">
    <cfRule type="expression" dxfId="452" priority="100" stopIfTrue="1">
      <formula>V32&lt;=TODAY()</formula>
    </cfRule>
  </conditionalFormatting>
  <conditionalFormatting sqref="W30:Y30 Z45:Z1048576">
    <cfRule type="expression" dxfId="451" priority="206" stopIfTrue="1">
      <formula xml:space="preserve"> AND(W30&gt;TODAY(),W30-TODAY()&lt;=180)</formula>
    </cfRule>
  </conditionalFormatting>
  <conditionalFormatting sqref="X4">
    <cfRule type="expression" dxfId="450" priority="733" stopIfTrue="1">
      <formula>X4&lt;=TODAY()</formula>
    </cfRule>
  </conditionalFormatting>
  <conditionalFormatting sqref="X4:X6">
    <cfRule type="expression" dxfId="449" priority="734" stopIfTrue="1">
      <formula xml:space="preserve"> AND(X4&gt;TODAY(),X4-TODAY()&lt;=180)</formula>
    </cfRule>
  </conditionalFormatting>
  <conditionalFormatting sqref="X7:X10">
    <cfRule type="expression" dxfId="448" priority="676" stopIfTrue="1">
      <formula>X7&lt;=TODAY()</formula>
    </cfRule>
  </conditionalFormatting>
  <conditionalFormatting sqref="X7:X11">
    <cfRule type="expression" dxfId="447" priority="645" stopIfTrue="1">
      <formula xml:space="preserve"> AND(X7&gt;TODAY(),X7-TODAY()&lt;=180)</formula>
    </cfRule>
  </conditionalFormatting>
  <conditionalFormatting sqref="X28:X29">
    <cfRule type="expression" dxfId="446" priority="308" stopIfTrue="1">
      <formula xml:space="preserve"> AND(X28&gt;TODAY(),X28-TODAY()&lt;=180)</formula>
    </cfRule>
    <cfRule type="expression" dxfId="445" priority="309" stopIfTrue="1">
      <formula>X28&lt;=TODAY()</formula>
    </cfRule>
  </conditionalFormatting>
  <conditionalFormatting sqref="X29">
    <cfRule type="expression" dxfId="444" priority="270" stopIfTrue="1">
      <formula>X29&lt;=TODAY()</formula>
    </cfRule>
    <cfRule type="expression" dxfId="443" priority="269" stopIfTrue="1">
      <formula xml:space="preserve"> AND(X29&gt;TODAY(),X29-TODAY()&lt;=180)</formula>
    </cfRule>
  </conditionalFormatting>
  <conditionalFormatting sqref="X30:Y30">
    <cfRule type="expression" dxfId="442" priority="205" stopIfTrue="1">
      <formula>X30&lt;=TODAY()</formula>
    </cfRule>
  </conditionalFormatting>
  <conditionalFormatting sqref="X32:Z32">
    <cfRule type="expression" dxfId="441" priority="184" stopIfTrue="1">
      <formula xml:space="preserve"> AND(X32&gt;TODAY(),X32-TODAY()&lt;=180)</formula>
    </cfRule>
    <cfRule type="expression" dxfId="440" priority="185" stopIfTrue="1">
      <formula>X32&lt;=TODAY()</formula>
    </cfRule>
  </conditionalFormatting>
  <conditionalFormatting sqref="Y34:Z37 AC37:AD37">
    <cfRule type="expression" dxfId="439" priority="32" stopIfTrue="1">
      <formula>Y34&lt;=TODAY()</formula>
    </cfRule>
    <cfRule type="expression" dxfId="438" priority="29" stopIfTrue="1">
      <formula xml:space="preserve"> AND(Y34&gt;TODAY(),Y34-TODAY()&lt;=180)</formula>
    </cfRule>
  </conditionalFormatting>
  <conditionalFormatting sqref="Y8:AN8">
    <cfRule type="expression" dxfId="437" priority="710" stopIfTrue="1">
      <formula>Y8&lt;=TODAY()</formula>
    </cfRule>
    <cfRule type="expression" dxfId="436" priority="709" stopIfTrue="1">
      <formula xml:space="preserve"> AND(Y8&gt;TODAY(),Y8-TODAY()&lt;=180)</formula>
    </cfRule>
  </conditionalFormatting>
  <conditionalFormatting sqref="Z4">
    <cfRule type="expression" dxfId="435" priority="731" stopIfTrue="1">
      <formula xml:space="preserve"> AND(Z4&gt;TODAY(),Z4-TODAY()&lt;=180)</formula>
    </cfRule>
    <cfRule type="expression" dxfId="434" priority="732" stopIfTrue="1">
      <formula>Z4&lt;=TODAY()</formula>
    </cfRule>
  </conditionalFormatting>
  <conditionalFormatting sqref="Z6:Z7">
    <cfRule type="expression" dxfId="433" priority="712" stopIfTrue="1">
      <formula>Z6&lt;=TODAY()</formula>
    </cfRule>
    <cfRule type="expression" dxfId="432" priority="711" stopIfTrue="1">
      <formula xml:space="preserve"> AND(Z6&gt;TODAY(),Z6-TODAY()&lt;=180)</formula>
    </cfRule>
  </conditionalFormatting>
  <conditionalFormatting sqref="Z9:Z18">
    <cfRule type="expression" dxfId="431" priority="526" stopIfTrue="1">
      <formula>Z9&lt;=TODAY()</formula>
    </cfRule>
  </conditionalFormatting>
  <conditionalFormatting sqref="Z9:Z19">
    <cfRule type="expression" dxfId="430" priority="505" stopIfTrue="1">
      <formula xml:space="preserve"> AND(Z9&gt;TODAY(),Z9-TODAY()&lt;=180)</formula>
    </cfRule>
  </conditionalFormatting>
  <conditionalFormatting sqref="Z20:Z24">
    <cfRule type="expression" dxfId="429" priority="413" stopIfTrue="1">
      <formula xml:space="preserve"> AND(Z20&gt;TODAY(),Z20-TODAY()&lt;=180)</formula>
    </cfRule>
  </conditionalFormatting>
  <conditionalFormatting sqref="Z24">
    <cfRule type="expression" dxfId="428" priority="412" stopIfTrue="1">
      <formula>Z24&lt;=TODAY()</formula>
    </cfRule>
  </conditionalFormatting>
  <conditionalFormatting sqref="Z28 Z45:Z1048576">
    <cfRule type="expression" dxfId="427" priority="313" stopIfTrue="1">
      <formula>Z28&lt;=TODAY()</formula>
    </cfRule>
  </conditionalFormatting>
  <conditionalFormatting sqref="Z28">
    <cfRule type="expression" dxfId="426" priority="312" stopIfTrue="1">
      <formula xml:space="preserve"> AND(Z28&gt;TODAY(),Z28-TODAY()&lt;=180)</formula>
    </cfRule>
  </conditionalFormatting>
  <conditionalFormatting sqref="Z33">
    <cfRule type="expression" dxfId="425" priority="143" stopIfTrue="1">
      <formula>Z33&lt;=TODAY()</formula>
    </cfRule>
    <cfRule type="expression" dxfId="424" priority="142" stopIfTrue="1">
      <formula xml:space="preserve"> AND(Z33&gt;TODAY(),Z33-TODAY()&lt;=180)</formula>
    </cfRule>
  </conditionalFormatting>
  <conditionalFormatting sqref="Z29:AF29">
    <cfRule type="expression" dxfId="423" priority="268" stopIfTrue="1">
      <formula>Z29&lt;=TODAY()</formula>
    </cfRule>
    <cfRule type="expression" dxfId="422" priority="267" stopIfTrue="1">
      <formula xml:space="preserve"> AND(Z29&gt;TODAY(),Z29-TODAY()&lt;=180)</formula>
    </cfRule>
    <cfRule type="expression" dxfId="421" priority="260" stopIfTrue="1">
      <formula>Z29&lt;=TODAY()</formula>
    </cfRule>
    <cfRule type="expression" dxfId="420" priority="259" stopIfTrue="1">
      <formula xml:space="preserve"> AND(Z29&gt;TODAY(),Z29-TODAY()&lt;=180)</formula>
    </cfRule>
  </conditionalFormatting>
  <conditionalFormatting sqref="AA30">
    <cfRule type="expression" dxfId="419" priority="204" stopIfTrue="1">
      <formula>AA30&lt;=TODAY()</formula>
    </cfRule>
    <cfRule type="expression" dxfId="418" priority="203" stopIfTrue="1">
      <formula xml:space="preserve"> AND(AA30&gt;TODAY(),AA30-TODAY()&lt;=180)</formula>
    </cfRule>
  </conditionalFormatting>
  <conditionalFormatting sqref="AB7">
    <cfRule type="expression" dxfId="417" priority="714" stopIfTrue="1">
      <formula>AB7&lt;=TODAY()</formula>
    </cfRule>
    <cfRule type="expression" dxfId="416" priority="713" stopIfTrue="1">
      <formula xml:space="preserve"> AND(AB7&gt;TODAY(),AB7-TODAY()&lt;=180)</formula>
    </cfRule>
  </conditionalFormatting>
  <conditionalFormatting sqref="AB9:AB28 AD27:AD28 L25:L28 L45:L1048576 AD45:AD1048576">
    <cfRule type="expression" dxfId="415" priority="325" stopIfTrue="1">
      <formula>L9&lt;=TODAY()</formula>
    </cfRule>
  </conditionalFormatting>
  <conditionalFormatting sqref="AB9:AB28 AD27:AD28">
    <cfRule type="expression" dxfId="414" priority="324" stopIfTrue="1">
      <formula xml:space="preserve"> AND(AB9&gt;TODAY(),AB9-TODAY()&lt;=180)</formula>
    </cfRule>
  </conditionalFormatting>
  <conditionalFormatting sqref="AB32">
    <cfRule type="expression" dxfId="413" priority="178" stopIfTrue="1">
      <formula xml:space="preserve"> AND(AB32&gt;TODAY(),AB32-TODAY()&lt;=180)</formula>
    </cfRule>
    <cfRule type="expression" dxfId="412" priority="177" stopIfTrue="1">
      <formula>AB32&lt;=TODAY()</formula>
    </cfRule>
  </conditionalFormatting>
  <conditionalFormatting sqref="AB34 AB45:AB1048576">
    <cfRule type="expression" dxfId="411" priority="128" stopIfTrue="1">
      <formula>AB34&lt;=TODAY()</formula>
    </cfRule>
  </conditionalFormatting>
  <conditionalFormatting sqref="AB34:AB37 AB45:AB1048576">
    <cfRule type="expression" dxfId="410" priority="24" stopIfTrue="1">
      <formula xml:space="preserve"> AND(AB34&gt;TODAY(),AB34-TODAY()&lt;=180)</formula>
    </cfRule>
  </conditionalFormatting>
  <conditionalFormatting sqref="AB35:AB37">
    <cfRule type="expression" dxfId="409" priority="12" stopIfTrue="1">
      <formula>AB35&lt;=TODAY()</formula>
    </cfRule>
  </conditionalFormatting>
  <conditionalFormatting sqref="AB30:AC30">
    <cfRule type="expression" dxfId="408" priority="218" stopIfTrue="1">
      <formula xml:space="preserve"> AND(AB30&gt;TODAY(),AB30-TODAY()&lt;=180)</formula>
    </cfRule>
    <cfRule type="expression" dxfId="407" priority="216" stopIfTrue="1">
      <formula>AB30&lt;=TODAY()</formula>
    </cfRule>
  </conditionalFormatting>
  <conditionalFormatting sqref="AB6:AD6">
    <cfRule type="expression" dxfId="406" priority="766" stopIfTrue="1">
      <formula>AB6&lt;=TODAY()</formula>
    </cfRule>
    <cfRule type="expression" dxfId="405" priority="765" stopIfTrue="1">
      <formula xml:space="preserve"> AND(AB6&gt;TODAY(),AB6-TODAY()&lt;=180)</formula>
    </cfRule>
  </conditionalFormatting>
  <conditionalFormatting sqref="AB33:AD33">
    <cfRule type="expression" dxfId="404" priority="163" stopIfTrue="1">
      <formula>AB33&lt;=TODAY()</formula>
    </cfRule>
    <cfRule type="expression" dxfId="403" priority="156" stopIfTrue="1">
      <formula xml:space="preserve"> AND(AB33&gt;TODAY(),AB33-TODAY()&lt;=180)</formula>
    </cfRule>
  </conditionalFormatting>
  <conditionalFormatting sqref="AC10:AE10">
    <cfRule type="expression" dxfId="402" priority="679" stopIfTrue="1">
      <formula xml:space="preserve"> AND(AC10&gt;TODAY(),AC10-TODAY()&lt;=180)</formula>
    </cfRule>
    <cfRule type="expression" dxfId="401" priority="680" stopIfTrue="1">
      <formula>AC10&lt;=TODAY()</formula>
    </cfRule>
  </conditionalFormatting>
  <conditionalFormatting sqref="AC30:AE30">
    <cfRule type="expression" dxfId="400" priority="214" stopIfTrue="1">
      <formula xml:space="preserve"> AND(AC30&gt;TODAY(),AC30-TODAY()&lt;=180)</formula>
    </cfRule>
  </conditionalFormatting>
  <conditionalFormatting sqref="AC11:AF11">
    <cfRule type="expression" dxfId="399" priority="657" stopIfTrue="1">
      <formula>AC11&lt;=TODAY()</formula>
    </cfRule>
    <cfRule type="expression" dxfId="398" priority="656" stopIfTrue="1">
      <formula xml:space="preserve"> AND(AC11&gt;TODAY(),AC11-TODAY()&lt;=180)</formula>
    </cfRule>
  </conditionalFormatting>
  <conditionalFormatting sqref="AD9">
    <cfRule type="expression" dxfId="397" priority="681" stopIfTrue="1">
      <formula xml:space="preserve"> AND(AD9&gt;TODAY(),AD9-TODAY()&lt;=180)</formula>
    </cfRule>
    <cfRule type="expression" dxfId="396" priority="682" stopIfTrue="1">
      <formula>AD9&lt;=TODAY()</formula>
    </cfRule>
  </conditionalFormatting>
  <conditionalFormatting sqref="AD12">
    <cfRule type="expression" dxfId="395" priority="620" stopIfTrue="1">
      <formula xml:space="preserve"> AND(AD12&gt;TODAY(),AD12-TODAY()&lt;=180)</formula>
    </cfRule>
    <cfRule type="expression" dxfId="394" priority="621" stopIfTrue="1">
      <formula>AD12&lt;=TODAY()</formula>
    </cfRule>
  </conditionalFormatting>
  <conditionalFormatting sqref="AD18:AD21">
    <cfRule type="expression" dxfId="393" priority="461" stopIfTrue="1">
      <formula xml:space="preserve"> AND(AD18&gt;TODAY(),AD18-TODAY()&lt;=180)</formula>
    </cfRule>
    <cfRule type="expression" dxfId="392" priority="462" stopIfTrue="1">
      <formula>AD18&lt;=TODAY()</formula>
    </cfRule>
  </conditionalFormatting>
  <conditionalFormatting sqref="AD24:AD27">
    <cfRule type="expression" dxfId="391" priority="355" stopIfTrue="1">
      <formula>AD24&lt;=TODAY()</formula>
    </cfRule>
    <cfRule type="expression" dxfId="390" priority="354" stopIfTrue="1">
      <formula xml:space="preserve"> AND(AD24&gt;TODAY(),AD24-TODAY()&lt;=180)</formula>
    </cfRule>
  </conditionalFormatting>
  <conditionalFormatting sqref="AD32">
    <cfRule type="expression" dxfId="389" priority="176" stopIfTrue="1">
      <formula xml:space="preserve"> AND(AD32&gt;TODAY(),AD32-TODAY()&lt;=180)</formula>
    </cfRule>
    <cfRule type="expression" dxfId="388" priority="175" stopIfTrue="1">
      <formula>AD32&lt;=TODAY()</formula>
    </cfRule>
  </conditionalFormatting>
  <conditionalFormatting sqref="AD34:AD36">
    <cfRule type="expression" dxfId="387" priority="44" stopIfTrue="1">
      <formula xml:space="preserve"> AND(AD34&gt;TODAY(),AD34-TODAY()&lt;=180)</formula>
    </cfRule>
    <cfRule type="expression" dxfId="386" priority="43" stopIfTrue="1">
      <formula>AD34&lt;=TODAY()</formula>
    </cfRule>
  </conditionalFormatting>
  <conditionalFormatting sqref="AD45:AD1048576">
    <cfRule type="expression" dxfId="385" priority="108" stopIfTrue="1">
      <formula xml:space="preserve"> AND(AD45&gt;TODAY(),AD45-TODAY()&lt;=180)</formula>
    </cfRule>
  </conditionalFormatting>
  <conditionalFormatting sqref="AD30:AE30">
    <cfRule type="expression" dxfId="384" priority="212" stopIfTrue="1">
      <formula>AD30&lt;=TODAY()</formula>
    </cfRule>
  </conditionalFormatting>
  <conditionalFormatting sqref="AD22:AP23">
    <cfRule type="expression" dxfId="383" priority="428" stopIfTrue="1">
      <formula>AD22&lt;=TODAY()</formula>
    </cfRule>
    <cfRule type="expression" dxfId="382" priority="427" stopIfTrue="1">
      <formula xml:space="preserve"> AND(AD22&gt;TODAY(),AD22-TODAY()&lt;=180)</formula>
    </cfRule>
  </conditionalFormatting>
  <conditionalFormatting sqref="AE30:AG30">
    <cfRule type="expression" dxfId="381" priority="210" stopIfTrue="1">
      <formula xml:space="preserve"> AND(AE30&gt;TODAY(),AE30-TODAY()&lt;=180)</formula>
    </cfRule>
  </conditionalFormatting>
  <conditionalFormatting sqref="AE21:AN21">
    <cfRule type="expression" dxfId="380" priority="471" stopIfTrue="1">
      <formula>AE21&lt;=TODAY()</formula>
    </cfRule>
    <cfRule type="expression" dxfId="379" priority="470" stopIfTrue="1">
      <formula xml:space="preserve"> AND(AE21&gt;TODAY(),AE21-TODAY()&lt;=180)</formula>
    </cfRule>
  </conditionalFormatting>
  <conditionalFormatting sqref="AE20:AW20">
    <cfRule type="expression" dxfId="378" priority="482" stopIfTrue="1">
      <formula>AE20&lt;=TODAY()</formula>
    </cfRule>
    <cfRule type="expression" dxfId="377" priority="481" stopIfTrue="1">
      <formula xml:space="preserve"> AND(AE20&gt;TODAY(),AE20-TODAY()&lt;=180)</formula>
    </cfRule>
  </conditionalFormatting>
  <conditionalFormatting sqref="AF7">
    <cfRule type="expression" dxfId="376" priority="716" stopIfTrue="1">
      <formula>AF7&lt;=TODAY()</formula>
    </cfRule>
    <cfRule type="expression" dxfId="375" priority="715" stopIfTrue="1">
      <formula xml:space="preserve"> AND(AF7&gt;TODAY(),AF7-TODAY()&lt;=180)</formula>
    </cfRule>
  </conditionalFormatting>
  <conditionalFormatting sqref="AF9:AF10">
    <cfRule type="expression" dxfId="374" priority="677" stopIfTrue="1">
      <formula xml:space="preserve"> AND(AF9&gt;TODAY(),AF9-TODAY()&lt;=180)</formula>
    </cfRule>
    <cfRule type="expression" dxfId="373" priority="678" stopIfTrue="1">
      <formula>AF9&lt;=TODAY()</formula>
    </cfRule>
  </conditionalFormatting>
  <conditionalFormatting sqref="AF12">
    <cfRule type="expression" dxfId="372" priority="616" stopIfTrue="1">
      <formula xml:space="preserve"> AND(AF12&gt;TODAY(),AF12-TODAY()&lt;=180)</formula>
    </cfRule>
    <cfRule type="expression" dxfId="371" priority="617" stopIfTrue="1">
      <formula>AF12&lt;=TODAY()</formula>
    </cfRule>
  </conditionalFormatting>
  <conditionalFormatting sqref="AF18:AF19">
    <cfRule type="expression" dxfId="370" priority="522" stopIfTrue="1">
      <formula>AF18&lt;=TODAY()</formula>
    </cfRule>
    <cfRule type="expression" dxfId="369" priority="521" stopIfTrue="1">
      <formula xml:space="preserve"> AND(AF18&gt;TODAY(),AF18-TODAY()&lt;=180)</formula>
    </cfRule>
  </conditionalFormatting>
  <conditionalFormatting sqref="AF25:AF26">
    <cfRule type="expression" dxfId="368" priority="362" stopIfTrue="1">
      <formula xml:space="preserve"> AND(AF25&gt;TODAY(),AF25-TODAY()&lt;=180)</formula>
    </cfRule>
  </conditionalFormatting>
  <conditionalFormatting sqref="AF28 AF45:AF1048576">
    <cfRule type="expression" dxfId="367" priority="303" stopIfTrue="1">
      <formula>AF28&lt;=TODAY()</formula>
    </cfRule>
  </conditionalFormatting>
  <conditionalFormatting sqref="AF28">
    <cfRule type="expression" dxfId="366" priority="302" stopIfTrue="1">
      <formula xml:space="preserve"> AND(AF28&gt;TODAY(),AF28-TODAY()&lt;=180)</formula>
    </cfRule>
  </conditionalFormatting>
  <conditionalFormatting sqref="AF30:AG30">
    <cfRule type="expression" dxfId="365" priority="209" stopIfTrue="1">
      <formula>AF30&lt;=TODAY()</formula>
    </cfRule>
  </conditionalFormatting>
  <conditionalFormatting sqref="AF6:AN6">
    <cfRule type="expression" dxfId="364" priority="763" stopIfTrue="1">
      <formula xml:space="preserve"> AND(AF6&gt;TODAY(),AF6-TODAY()&lt;=180)</formula>
    </cfRule>
    <cfRule type="expression" dxfId="363" priority="764" stopIfTrue="1">
      <formula>AF6&lt;=TODAY()</formula>
    </cfRule>
  </conditionalFormatting>
  <conditionalFormatting sqref="AF27:AU27">
    <cfRule type="expression" dxfId="362" priority="328" stopIfTrue="1">
      <formula xml:space="preserve"> AND(AF27&gt;TODAY(),AF27-TODAY()&lt;=180)</formula>
    </cfRule>
    <cfRule type="expression" dxfId="361" priority="329" stopIfTrue="1">
      <formula>AF27&lt;=TODAY()</formula>
    </cfRule>
  </conditionalFormatting>
  <conditionalFormatting sqref="AG30">
    <cfRule type="expression" dxfId="360" priority="207" stopIfTrue="1">
      <formula xml:space="preserve"> AND(AG30&gt;TODAY(),AG30-TODAY()&lt;=180)</formula>
    </cfRule>
  </conditionalFormatting>
  <conditionalFormatting sqref="AG10:AN11">
    <cfRule type="expression" dxfId="359" priority="659" stopIfTrue="1">
      <formula>AG10&lt;=TODAY()</formula>
    </cfRule>
    <cfRule type="expression" dxfId="358" priority="658" stopIfTrue="1">
      <formula xml:space="preserve"> AND(AG10&gt;TODAY(),AG10-TODAY()&lt;=180)</formula>
    </cfRule>
  </conditionalFormatting>
  <conditionalFormatting sqref="AH25:AH26">
    <cfRule type="expression" dxfId="357" priority="365" stopIfTrue="1">
      <formula xml:space="preserve"> AND(AH25&gt;TODAY(),AH25-TODAY()&lt;=180)</formula>
    </cfRule>
    <cfRule type="expression" dxfId="356" priority="366" stopIfTrue="1">
      <formula>AH25&lt;=TODAY()</formula>
    </cfRule>
  </conditionalFormatting>
  <conditionalFormatting sqref="AH19:AN19">
    <cfRule type="expression" dxfId="355" priority="523" stopIfTrue="1">
      <formula xml:space="preserve"> AND(AH19&gt;TODAY(),AH19-TODAY()&lt;=180)</formula>
    </cfRule>
    <cfRule type="expression" dxfId="354" priority="516" stopIfTrue="1">
      <formula>AH19&lt;=TODAY()</formula>
    </cfRule>
  </conditionalFormatting>
  <conditionalFormatting sqref="AH45:AN1048576">
    <cfRule type="expression" dxfId="353" priority="825" stopIfTrue="1">
      <formula xml:space="preserve"> AND(AH45&gt;TODAY(),AH45-TODAY()&lt;=180)</formula>
    </cfRule>
    <cfRule type="expression" dxfId="352" priority="826" stopIfTrue="1">
      <formula>AH45&lt;=TODAY()</formula>
    </cfRule>
  </conditionalFormatting>
  <conditionalFormatting sqref="AJ25:AU26">
    <cfRule type="expression" dxfId="351" priority="358" stopIfTrue="1">
      <formula xml:space="preserve"> AND(AJ25&gt;TODAY(),AJ25-TODAY()&lt;=180)</formula>
    </cfRule>
    <cfRule type="expression" dxfId="350" priority="359" stopIfTrue="1">
      <formula>AJ25&lt;=TODAY()</formula>
    </cfRule>
  </conditionalFormatting>
  <conditionalFormatting sqref="AJ28:AU28 H26:H28 AH28 H45:H1048576">
    <cfRule type="expression" dxfId="349" priority="307" stopIfTrue="1">
      <formula>H26&lt;=TODAY()</formula>
    </cfRule>
  </conditionalFormatting>
  <conditionalFormatting sqref="AJ28:AU28">
    <cfRule type="expression" dxfId="348" priority="306" stopIfTrue="1">
      <formula xml:space="preserve"> AND(AJ28&gt;TODAY(),AJ28-TODAY()&lt;=180)</formula>
    </cfRule>
  </conditionalFormatting>
  <conditionalFormatting sqref="AK30">
    <cfRule type="expression" dxfId="347" priority="231" stopIfTrue="1">
      <formula>AK30&lt;=TODAY()</formula>
    </cfRule>
  </conditionalFormatting>
  <conditionalFormatting sqref="AL29 J29">
    <cfRule type="expression" dxfId="346" priority="294" stopIfTrue="1">
      <formula xml:space="preserve"> AND(J29&gt;TODAY(),J29-TODAY()&lt;=180)</formula>
    </cfRule>
  </conditionalFormatting>
  <conditionalFormatting sqref="AL29">
    <cfRule type="expression" dxfId="345" priority="285" stopIfTrue="1">
      <formula>AL29&lt;=TODAY()</formula>
    </cfRule>
  </conditionalFormatting>
  <conditionalFormatting sqref="AN29 T30:U30 AM30">
    <cfRule type="expression" dxfId="344" priority="238" stopIfTrue="1">
      <formula>T29&lt;=TODAY()</formula>
    </cfRule>
    <cfRule type="expression" dxfId="343" priority="239" stopIfTrue="1">
      <formula xml:space="preserve"> AND(T29&gt;TODAY(),T29-TODAY()&lt;=180)</formula>
    </cfRule>
  </conditionalFormatting>
  <conditionalFormatting sqref="AN32:AN37 H32:H37 AF32:AF37 AH32:AH37 AJ32:AJ37 AL32:AL37 AP32:AP37 V35:V37">
    <cfRule type="expression" dxfId="342" priority="25" stopIfTrue="1">
      <formula>H32&lt;=TODAY()</formula>
    </cfRule>
  </conditionalFormatting>
  <conditionalFormatting sqref="AN37">
    <cfRule type="expression" dxfId="341" priority="22" stopIfTrue="1">
      <formula xml:space="preserve"> AND(AN37&gt;TODAY(),AN37-TODAY()&lt;=180)</formula>
    </cfRule>
  </conditionalFormatting>
  <conditionalFormatting sqref="AO14:AQ14">
    <cfRule type="expression" dxfId="340" priority="630" stopIfTrue="1">
      <formula xml:space="preserve"> AND(AO14&gt;TODAY(),AO14-TODAY()&lt;=180)</formula>
    </cfRule>
    <cfRule type="expression" dxfId="339" priority="631" stopIfTrue="1">
      <formula>AO14&lt;=TODAY()</formula>
    </cfRule>
  </conditionalFormatting>
  <conditionalFormatting sqref="AP10:AP13 M12:P12">
    <cfRule type="expression" dxfId="338" priority="636" stopIfTrue="1">
      <formula xml:space="preserve"> AND(M10&gt;TODAY(),M10-TODAY()&lt;=180)</formula>
    </cfRule>
    <cfRule type="expression" dxfId="337" priority="637" stopIfTrue="1">
      <formula>M10&lt;=TODAY()</formula>
    </cfRule>
  </conditionalFormatting>
  <conditionalFormatting sqref="AP15:AP16">
    <cfRule type="expression" dxfId="336" priority="572" stopIfTrue="1">
      <formula xml:space="preserve"> AND(AP15&gt;TODAY(),AP15-TODAY()&lt;=180)</formula>
    </cfRule>
    <cfRule type="expression" dxfId="335" priority="573" stopIfTrue="1">
      <formula>AP15&lt;=TODAY()</formula>
    </cfRule>
  </conditionalFormatting>
  <conditionalFormatting sqref="AP18:AP19">
    <cfRule type="expression" dxfId="334" priority="517" stopIfTrue="1">
      <formula xml:space="preserve"> AND(AP18&gt;TODAY(),AP18-TODAY()&lt;=180)</formula>
    </cfRule>
    <cfRule type="expression" dxfId="333" priority="518" stopIfTrue="1">
      <formula>AP18&lt;=TODAY()</formula>
    </cfRule>
  </conditionalFormatting>
  <conditionalFormatting sqref="AP32:AP37 AP45:AP1048576">
    <cfRule type="expression" dxfId="332" priority="27" stopIfTrue="1">
      <formula xml:space="preserve"> AND(AP32&gt;TODAY(),AP32-TODAY()&lt;=180)</formula>
    </cfRule>
  </conditionalFormatting>
  <conditionalFormatting sqref="AP45:AP1048576">
    <cfRule type="expression" dxfId="331" priority="477" stopIfTrue="1">
      <formula>AP45&lt;=TODAY()</formula>
    </cfRule>
  </conditionalFormatting>
  <conditionalFormatting sqref="AP21:AX21">
    <cfRule type="expression" dxfId="330" priority="465" stopIfTrue="1">
      <formula>AP21&lt;=TODAY()</formula>
    </cfRule>
    <cfRule type="expression" dxfId="329" priority="458" stopIfTrue="1">
      <formula xml:space="preserve"> AND(AP21&gt;TODAY(),AP21-TODAY()&lt;=180)</formula>
    </cfRule>
  </conditionalFormatting>
  <conditionalFormatting sqref="AQ16">
    <cfRule type="expression" dxfId="328" priority="564" stopIfTrue="1">
      <formula xml:space="preserve"> AND(AQ16&gt;TODAY(),AQ16-TODAY()&lt;=180)</formula>
    </cfRule>
    <cfRule type="expression" dxfId="327" priority="565" stopIfTrue="1">
      <formula>AQ16&lt;=TODAY()</formula>
    </cfRule>
  </conditionalFormatting>
  <conditionalFormatting sqref="AQ30">
    <cfRule type="expression" dxfId="326" priority="228" stopIfTrue="1">
      <formula>AQ30&lt;=TODAY()</formula>
    </cfRule>
  </conditionalFormatting>
  <conditionalFormatting sqref="AQ9:AV10">
    <cfRule type="expression" dxfId="325" priority="690" stopIfTrue="1">
      <formula>AQ9&lt;=TODAY()</formula>
    </cfRule>
    <cfRule type="expression" dxfId="324" priority="689" stopIfTrue="1">
      <formula xml:space="preserve"> AND(AQ9&gt;TODAY(),AQ9-TODAY()&lt;=180)</formula>
    </cfRule>
  </conditionalFormatting>
  <conditionalFormatting sqref="AR7 AT7">
    <cfRule type="expression" dxfId="323" priority="728" stopIfTrue="1">
      <formula>AR7&lt;=TODAY()</formula>
    </cfRule>
    <cfRule type="expression" dxfId="322" priority="727" stopIfTrue="1">
      <formula xml:space="preserve"> AND(AR7&gt;TODAY(),AR7-TODAY()&lt;=180)</formula>
    </cfRule>
  </conditionalFormatting>
  <conditionalFormatting sqref="AR11:AR16">
    <cfRule type="expression" dxfId="321" priority="562" stopIfTrue="1">
      <formula xml:space="preserve"> AND(AR11&gt;TODAY(),AR11-TODAY()&lt;=180)</formula>
    </cfRule>
    <cfRule type="expression" dxfId="320" priority="563" stopIfTrue="1">
      <formula>AR11&lt;=TODAY()</formula>
    </cfRule>
  </conditionalFormatting>
  <conditionalFormatting sqref="AR22:AR24">
    <cfRule type="expression" dxfId="319" priority="416" stopIfTrue="1">
      <formula xml:space="preserve"> AND(AR22&gt;TODAY(),AR22-TODAY()&lt;=180)</formula>
    </cfRule>
    <cfRule type="expression" dxfId="318" priority="417" stopIfTrue="1">
      <formula>AR22&lt;=TODAY()</formula>
    </cfRule>
  </conditionalFormatting>
  <conditionalFormatting sqref="AR29">
    <cfRule type="expression" dxfId="317" priority="283" stopIfTrue="1">
      <formula>AR29&lt;=TODAY()</formula>
    </cfRule>
    <cfRule type="expression" dxfId="316" priority="282" stopIfTrue="1">
      <formula xml:space="preserve"> AND(AR29&gt;TODAY(),AR29-TODAY()&lt;=180)</formula>
    </cfRule>
  </conditionalFormatting>
  <conditionalFormatting sqref="AR32:AR34">
    <cfRule type="expression" dxfId="315" priority="109" stopIfTrue="1">
      <formula>AR32&lt;=TODAY()</formula>
    </cfRule>
  </conditionalFormatting>
  <conditionalFormatting sqref="AR36">
    <cfRule type="expression" dxfId="314" priority="62" stopIfTrue="1">
      <formula xml:space="preserve"> AND(AR36&gt;TODAY(),AR36-TODAY()&lt;=180)</formula>
    </cfRule>
    <cfRule type="expression" dxfId="313" priority="53" stopIfTrue="1">
      <formula>AR36&lt;=TODAY()</formula>
    </cfRule>
  </conditionalFormatting>
  <conditionalFormatting sqref="AR25:AV26">
    <cfRule type="expression" dxfId="312" priority="376" stopIfTrue="1">
      <formula>AR25&lt;=TODAY()</formula>
    </cfRule>
    <cfRule type="expression" dxfId="311" priority="375" stopIfTrue="1">
      <formula xml:space="preserve"> AND(AR25&gt;TODAY(),AR25-TODAY()&lt;=180)</formula>
    </cfRule>
  </conditionalFormatting>
  <conditionalFormatting sqref="AR28:AV28">
    <cfRule type="expression" dxfId="310" priority="322" stopIfTrue="1">
      <formula xml:space="preserve"> AND(AR28&gt;TODAY(),AR28-TODAY()&lt;=180)</formula>
    </cfRule>
    <cfRule type="expression" dxfId="309" priority="323" stopIfTrue="1">
      <formula>AR28&lt;=TODAY()</formula>
    </cfRule>
  </conditionalFormatting>
  <conditionalFormatting sqref="AR37:AV37">
    <cfRule type="expression" dxfId="308" priority="9" stopIfTrue="1">
      <formula>AR37&lt;=TODAY()</formula>
    </cfRule>
  </conditionalFormatting>
  <conditionalFormatting sqref="AR27:AW27">
    <cfRule type="expression" dxfId="307" priority="344" stopIfTrue="1">
      <formula xml:space="preserve"> AND(AR27&gt;TODAY(),AR27-TODAY()&lt;=180)</formula>
    </cfRule>
    <cfRule type="expression" dxfId="306" priority="345" stopIfTrue="1">
      <formula>AR27&lt;=TODAY()</formula>
    </cfRule>
  </conditionalFormatting>
  <conditionalFormatting sqref="AR34:AX34 J45:J1048576 L45:L1048576">
    <cfRule type="expression" dxfId="305" priority="116" stopIfTrue="1">
      <formula xml:space="preserve"> AND(J34&gt;TODAY(),J34-TODAY()&lt;=180)</formula>
    </cfRule>
  </conditionalFormatting>
  <conditionalFormatting sqref="AR29:AZ29">
    <cfRule type="expression" dxfId="304" priority="250" stopIfTrue="1">
      <formula>AR29&lt;=TODAY()</formula>
    </cfRule>
    <cfRule type="expression" dxfId="303" priority="249" stopIfTrue="1">
      <formula xml:space="preserve"> AND(AR29&gt;TODAY(),AR29-TODAY()&lt;=180)</formula>
    </cfRule>
  </conditionalFormatting>
  <conditionalFormatting sqref="AR32:BC32">
    <cfRule type="expression" dxfId="302" priority="188" stopIfTrue="1">
      <formula xml:space="preserve"> AND(AR32&gt;TODAY(),AR32-TODAY()&lt;=180)</formula>
    </cfRule>
  </conditionalFormatting>
  <conditionalFormatting sqref="AR33:BJ33">
    <cfRule type="expression" dxfId="301" priority="140" stopIfTrue="1">
      <formula xml:space="preserve"> AND(AR33&gt;TODAY(),AR33-TODAY()&lt;=180)</formula>
    </cfRule>
  </conditionalFormatting>
  <conditionalFormatting sqref="AS14">
    <cfRule type="expression" dxfId="300" priority="622" stopIfTrue="1">
      <formula xml:space="preserve"> AND(AS14&gt;TODAY(),AS14-TODAY()&lt;=180)</formula>
    </cfRule>
    <cfRule type="expression" dxfId="299" priority="623" stopIfTrue="1">
      <formula>AS14&lt;=TODAY()</formula>
    </cfRule>
  </conditionalFormatting>
  <conditionalFormatting sqref="AS30 AQ30">
    <cfRule type="expression" dxfId="298" priority="244" stopIfTrue="1">
      <formula xml:space="preserve"> AND(AQ30&gt;TODAY(),AQ30-TODAY()&lt;=180)</formula>
    </cfRule>
  </conditionalFormatting>
  <conditionalFormatting sqref="AS30 AU30">
    <cfRule type="expression" dxfId="297" priority="242" stopIfTrue="1">
      <formula>AS30&lt;=TODAY()</formula>
    </cfRule>
  </conditionalFormatting>
  <conditionalFormatting sqref="AS18:AU18">
    <cfRule type="expression" dxfId="296" priority="524" stopIfTrue="1">
      <formula xml:space="preserve"> AND(AS18&gt;TODAY(),AS18-TODAY()&lt;=180)</formula>
    </cfRule>
    <cfRule type="expression" dxfId="295" priority="531" stopIfTrue="1">
      <formula>AS18&lt;=TODAY()</formula>
    </cfRule>
  </conditionalFormatting>
  <conditionalFormatting sqref="AS19:AW19">
    <cfRule type="expression" dxfId="294" priority="510" stopIfTrue="1">
      <formula xml:space="preserve"> AND(AS19&gt;TODAY(),AS19-TODAY()&lt;=180)</formula>
    </cfRule>
    <cfRule type="expression" dxfId="293" priority="511" stopIfTrue="1">
      <formula>AS19&lt;=TODAY()</formula>
    </cfRule>
  </conditionalFormatting>
  <conditionalFormatting sqref="AS34:AX34">
    <cfRule type="expression" dxfId="292" priority="123" stopIfTrue="1">
      <formula>AS34&lt;=TODAY()</formula>
    </cfRule>
  </conditionalFormatting>
  <conditionalFormatting sqref="AS37:AX37">
    <cfRule type="expression" dxfId="291" priority="10" stopIfTrue="1">
      <formula xml:space="preserve"> AND(AS37&gt;TODAY(),AS37-TODAY()&lt;=180)</formula>
    </cfRule>
  </conditionalFormatting>
  <conditionalFormatting sqref="AS23:AY23">
    <cfRule type="expression" dxfId="290" priority="421" stopIfTrue="1">
      <formula>AS23&lt;=TODAY()</formula>
    </cfRule>
    <cfRule type="expression" dxfId="289" priority="420" stopIfTrue="1">
      <formula xml:space="preserve"> AND(AS23&gt;TODAY(),AS23-TODAY()&lt;=180)</formula>
    </cfRule>
  </conditionalFormatting>
  <conditionalFormatting sqref="AS32:BC32">
    <cfRule type="expression" dxfId="288" priority="191" stopIfTrue="1">
      <formula>AS32&lt;=TODAY()</formula>
    </cfRule>
  </conditionalFormatting>
  <conditionalFormatting sqref="AS33:BJ33">
    <cfRule type="expression" dxfId="287" priority="141" stopIfTrue="1">
      <formula>AS33&lt;=TODAY()</formula>
    </cfRule>
  </conditionalFormatting>
  <conditionalFormatting sqref="AT11:AT17">
    <cfRule type="expression" dxfId="286" priority="553" stopIfTrue="1">
      <formula>AT11&lt;=TODAY()</formula>
    </cfRule>
    <cfRule type="expression" dxfId="285" priority="552" stopIfTrue="1">
      <formula xml:space="preserve"> AND(AT11&gt;TODAY(),AT11-TODAY()&lt;=180)</formula>
    </cfRule>
  </conditionalFormatting>
  <conditionalFormatting sqref="AT29 P29 R29">
    <cfRule type="expression" dxfId="284" priority="255" stopIfTrue="1">
      <formula xml:space="preserve"> AND(P29&gt;TODAY(),P29-TODAY()&lt;=180)</formula>
    </cfRule>
  </conditionalFormatting>
  <conditionalFormatting sqref="AT36">
    <cfRule type="expression" dxfId="283" priority="51" stopIfTrue="1">
      <formula>AT36&lt;=TODAY()</formula>
    </cfRule>
    <cfRule type="expression" dxfId="282" priority="50" stopIfTrue="1">
      <formula xml:space="preserve"> AND(AT36&gt;TODAY(),AT36-TODAY()&lt;=180)</formula>
    </cfRule>
  </conditionalFormatting>
  <conditionalFormatting sqref="AU14">
    <cfRule type="expression" dxfId="281" priority="625" stopIfTrue="1">
      <formula>AU14&lt;=TODAY()</formula>
    </cfRule>
    <cfRule type="expression" dxfId="280" priority="624" stopIfTrue="1">
      <formula xml:space="preserve"> AND(AU14&gt;TODAY(),AU14-TODAY()&lt;=180)</formula>
    </cfRule>
  </conditionalFormatting>
  <conditionalFormatting sqref="AU16:AV16">
    <cfRule type="expression" dxfId="279" priority="574" stopIfTrue="1">
      <formula xml:space="preserve"> AND(AU16&gt;TODAY(),AU16-TODAY()&lt;=180)</formula>
    </cfRule>
    <cfRule type="expression" dxfId="278" priority="575" stopIfTrue="1">
      <formula>AU16&lt;=TODAY()</formula>
    </cfRule>
  </conditionalFormatting>
  <conditionalFormatting sqref="AV7:AV8 AR8:AT8">
    <cfRule type="expression" dxfId="277" priority="720" stopIfTrue="1">
      <formula>AR7&lt;=TODAY()</formula>
    </cfRule>
    <cfRule type="expression" dxfId="276" priority="719" stopIfTrue="1">
      <formula xml:space="preserve"> AND(AR7&gt;TODAY(),AR7-TODAY()&lt;=180)</formula>
    </cfRule>
  </conditionalFormatting>
  <conditionalFormatting sqref="AV29">
    <cfRule type="expression" dxfId="275" priority="246" stopIfTrue="1">
      <formula>AV29&lt;=TODAY()</formula>
    </cfRule>
  </conditionalFormatting>
  <conditionalFormatting sqref="AV36:AY36">
    <cfRule type="expression" dxfId="274" priority="40" stopIfTrue="1">
      <formula>AV36&lt;=TODAY()</formula>
    </cfRule>
    <cfRule type="expression" dxfId="273" priority="39" stopIfTrue="1">
      <formula xml:space="preserve"> AND(AV36&gt;TODAY(),AV36-TODAY()&lt;=180)</formula>
    </cfRule>
  </conditionalFormatting>
  <conditionalFormatting sqref="AW37:AX37">
    <cfRule type="expression" dxfId="272" priority="14" stopIfTrue="1">
      <formula>AW37&lt;=TODAY()</formula>
    </cfRule>
  </conditionalFormatting>
  <conditionalFormatting sqref="AW37:AZ37">
    <cfRule type="expression" dxfId="271" priority="15" stopIfTrue="1">
      <formula xml:space="preserve"> AND(AW37&gt;TODAY(),AW37-TODAY()&lt;=180)</formula>
    </cfRule>
    <cfRule type="expression" dxfId="270" priority="16" stopIfTrue="1">
      <formula>AW37&lt;=TODAY()</formula>
    </cfRule>
  </conditionalFormatting>
  <conditionalFormatting sqref="AX25:AX28">
    <cfRule type="expression" dxfId="269" priority="300" stopIfTrue="1">
      <formula xml:space="preserve"> AND(AX25&gt;TODAY(),AX25-TODAY()&lt;=180)</formula>
    </cfRule>
    <cfRule type="expression" dxfId="268" priority="301" stopIfTrue="1">
      <formula>AX25&lt;=TODAY()</formula>
    </cfRule>
  </conditionalFormatting>
  <conditionalFormatting sqref="AX29:AZ29">
    <cfRule type="expression" dxfId="267" priority="286" stopIfTrue="1">
      <formula xml:space="preserve"> AND(AX29&gt;TODAY(),AX29-TODAY()&lt;=180)</formula>
    </cfRule>
    <cfRule type="expression" dxfId="266" priority="287" stopIfTrue="1">
      <formula>AX29&lt;=TODAY()</formula>
    </cfRule>
  </conditionalFormatting>
  <conditionalFormatting sqref="AY26:AY27">
    <cfRule type="expression" dxfId="265" priority="357" stopIfTrue="1">
      <formula>AY26&lt;=TODAY()</formula>
    </cfRule>
    <cfRule type="expression" dxfId="264" priority="356" stopIfTrue="1">
      <formula xml:space="preserve"> AND(AY26&gt;TODAY(),AY26-TODAY()&lt;=180)</formula>
    </cfRule>
  </conditionalFormatting>
  <conditionalFormatting sqref="AY34:AY36">
    <cfRule type="expression" dxfId="263" priority="41" stopIfTrue="1">
      <formula xml:space="preserve"> AND(AY34&gt;TODAY(),AY34-TODAY()&lt;=180)</formula>
    </cfRule>
    <cfRule type="expression" dxfId="262" priority="42" stopIfTrue="1">
      <formula>AY34&lt;=TODAY()</formula>
    </cfRule>
  </conditionalFormatting>
  <conditionalFormatting sqref="AZ25:BA26">
    <cfRule type="expression" dxfId="261" priority="372" stopIfTrue="1">
      <formula>AZ25&lt;=TODAY()</formula>
    </cfRule>
    <cfRule type="expression" dxfId="260" priority="371" stopIfTrue="1">
      <formula xml:space="preserve"> AND(AZ25&gt;TODAY(),AZ25-TODAY()&lt;=180)</formula>
    </cfRule>
  </conditionalFormatting>
  <conditionalFormatting sqref="AZ30:BA30">
    <cfRule type="expression" dxfId="259" priority="221" stopIfTrue="1">
      <formula xml:space="preserve"> AND(AZ30&gt;TODAY(),AZ30-TODAY()&lt;=180)</formula>
    </cfRule>
    <cfRule type="expression" dxfId="258" priority="222" stopIfTrue="1">
      <formula>AZ30&lt;=TODAY()</formula>
    </cfRule>
  </conditionalFormatting>
  <conditionalFormatting sqref="AZ30:BC30">
    <cfRule type="expression" dxfId="257" priority="223" stopIfTrue="1">
      <formula xml:space="preserve"> AND(AZ30&gt;TODAY(),AZ30-TODAY()&lt;=180)</formula>
    </cfRule>
    <cfRule type="expression" dxfId="256" priority="224" stopIfTrue="1">
      <formula>AZ30&lt;=TODAY()</formula>
    </cfRule>
  </conditionalFormatting>
  <conditionalFormatting sqref="AZ32:BC32 J32">
    <cfRule type="expression" dxfId="255" priority="199" stopIfTrue="1">
      <formula xml:space="preserve"> AND(J32&gt;TODAY(),J32-TODAY()&lt;=180)</formula>
    </cfRule>
  </conditionalFormatting>
  <conditionalFormatting sqref="AZ33:BC33">
    <cfRule type="expression" dxfId="254" priority="162" stopIfTrue="1">
      <formula>AZ33&lt;=TODAY()</formula>
    </cfRule>
    <cfRule type="expression" dxfId="253" priority="161" stopIfTrue="1">
      <formula xml:space="preserve"> AND(AZ33&gt;TODAY(),AZ33-TODAY()&lt;=180)</formula>
    </cfRule>
  </conditionalFormatting>
  <conditionalFormatting sqref="AZ34:BC34">
    <cfRule type="expression" dxfId="252" priority="126" stopIfTrue="1">
      <formula xml:space="preserve"> AND(AZ34&gt;TODAY(),AZ34-TODAY()&lt;=180)</formula>
    </cfRule>
    <cfRule type="expression" dxfId="251" priority="127" stopIfTrue="1">
      <formula>AZ34&lt;=TODAY()</formula>
    </cfRule>
  </conditionalFormatting>
  <conditionalFormatting sqref="AZ35:BC35">
    <cfRule type="expression" dxfId="250" priority="88" stopIfTrue="1">
      <formula>AZ35&lt;=TODAY()</formula>
    </cfRule>
  </conditionalFormatting>
  <conditionalFormatting sqref="AZ35:BC36">
    <cfRule type="expression" dxfId="249" priority="61" stopIfTrue="1">
      <formula>AZ35&lt;=TODAY()</formula>
    </cfRule>
    <cfRule type="expression" dxfId="248" priority="60" stopIfTrue="1">
      <formula xml:space="preserve"> AND(AZ35&gt;TODAY(),AZ35-TODAY()&lt;=180)</formula>
    </cfRule>
  </conditionalFormatting>
  <conditionalFormatting sqref="AZ35:BD35">
    <cfRule type="expression" dxfId="247" priority="87" stopIfTrue="1">
      <formula xml:space="preserve"> AND(AZ35&gt;TODAY(),AZ35-TODAY()&lt;=180)</formula>
    </cfRule>
  </conditionalFormatting>
  <conditionalFormatting sqref="AZ32:BJ32">
    <cfRule type="expression" dxfId="246" priority="181" stopIfTrue="1">
      <formula>AZ32&lt;=TODAY()</formula>
    </cfRule>
  </conditionalFormatting>
  <conditionalFormatting sqref="AZ34:BJ34">
    <cfRule type="expression" dxfId="245" priority="112" stopIfTrue="1">
      <formula xml:space="preserve"> AND(AZ34&gt;TODAY(),AZ34-TODAY()&lt;=180)</formula>
    </cfRule>
    <cfRule type="expression" dxfId="244" priority="113" stopIfTrue="1">
      <formula>AZ34&lt;=TODAY()</formula>
    </cfRule>
  </conditionalFormatting>
  <conditionalFormatting sqref="AZ36:BJ36">
    <cfRule type="expression" dxfId="243" priority="52" stopIfTrue="1">
      <formula xml:space="preserve"> AND(AZ36&gt;TODAY(),AZ36-TODAY()&lt;=180)</formula>
    </cfRule>
    <cfRule type="expression" dxfId="242" priority="59" stopIfTrue="1">
      <formula>AZ36&lt;=TODAY()</formula>
    </cfRule>
  </conditionalFormatting>
  <conditionalFormatting sqref="AZ27:BU27">
    <cfRule type="expression" dxfId="241" priority="336" stopIfTrue="1">
      <formula xml:space="preserve"> AND(AZ27&gt;TODAY(),AZ27-TODAY()&lt;=180)</formula>
    </cfRule>
    <cfRule type="expression" dxfId="240" priority="337" stopIfTrue="1">
      <formula>AZ27&lt;=TODAY()</formula>
    </cfRule>
  </conditionalFormatting>
  <conditionalFormatting sqref="BA37:BJ37">
    <cfRule type="expression" dxfId="239" priority="5" stopIfTrue="1">
      <formula>BA37&lt;=TODAY()</formula>
    </cfRule>
    <cfRule type="expression" dxfId="238" priority="6" stopIfTrue="1">
      <formula xml:space="preserve"> AND(BA37&gt;TODAY(),BA37-TODAY()&lt;=180)</formula>
    </cfRule>
  </conditionalFormatting>
  <conditionalFormatting sqref="BB29:BE29">
    <cfRule type="expression" dxfId="237" priority="253" stopIfTrue="1">
      <formula xml:space="preserve"> AND(BB29&gt;TODAY(),BB29-TODAY()&lt;=180)</formula>
    </cfRule>
    <cfRule type="expression" dxfId="236" priority="252" stopIfTrue="1">
      <formula>BB29&lt;=TODAY()</formula>
    </cfRule>
    <cfRule type="expression" dxfId="235" priority="251" stopIfTrue="1">
      <formula xml:space="preserve"> AND(BB29&gt;TODAY(),BB29-TODAY()&lt;=180)</formula>
    </cfRule>
    <cfRule type="expression" dxfId="234" priority="254" stopIfTrue="1">
      <formula>BB29&lt;=TODAY()</formula>
    </cfRule>
  </conditionalFormatting>
  <conditionalFormatting sqref="BB29:BG29">
    <cfRule type="expression" dxfId="233" priority="278" stopIfTrue="1">
      <formula>BB29&lt;=TODAY()</formula>
    </cfRule>
    <cfRule type="expression" dxfId="232" priority="277" stopIfTrue="1">
      <formula xml:space="preserve"> AND(BB29&gt;TODAY(),BB29-TODAY()&lt;=180)</formula>
    </cfRule>
  </conditionalFormatting>
  <conditionalFormatting sqref="BB29:BH29">
    <cfRule type="expression" dxfId="231" priority="290" stopIfTrue="1">
      <formula xml:space="preserve"> AND(BB29&gt;TODAY(),BB29-TODAY()&lt;=180)</formula>
    </cfRule>
    <cfRule type="expression" dxfId="230" priority="291" stopIfTrue="1">
      <formula>BB29&lt;=TODAY()</formula>
    </cfRule>
  </conditionalFormatting>
  <conditionalFormatting sqref="BC26:BE26">
    <cfRule type="expression" dxfId="229" priority="367" stopIfTrue="1">
      <formula xml:space="preserve"> AND(BC26&gt;TODAY(),BC26-TODAY()&lt;=180)</formula>
    </cfRule>
    <cfRule type="expression" dxfId="228" priority="368" stopIfTrue="1">
      <formula>BC26&lt;=TODAY()</formula>
    </cfRule>
  </conditionalFormatting>
  <conditionalFormatting sqref="BD32:BJ32">
    <cfRule type="expression" dxfId="227" priority="180" stopIfTrue="1">
      <formula xml:space="preserve"> AND(BD32&gt;TODAY(),BD32-TODAY()&lt;=180)</formula>
    </cfRule>
  </conditionalFormatting>
  <conditionalFormatting sqref="BD35:BJ35">
    <cfRule type="expression" dxfId="226" priority="92" stopIfTrue="1">
      <formula>BD35&lt;=TODAY()</formula>
    </cfRule>
  </conditionalFormatting>
  <conditionalFormatting sqref="BE34:BF34">
    <cfRule type="expression" dxfId="225" priority="111" stopIfTrue="1">
      <formula>BE34&lt;=TODAY()</formula>
    </cfRule>
  </conditionalFormatting>
  <conditionalFormatting sqref="BG29:BH29">
    <cfRule type="expression" dxfId="224" priority="247" stopIfTrue="1">
      <formula xml:space="preserve"> AND(BG29&gt;TODAY(),BG29-TODAY()&lt;=180)</formula>
    </cfRule>
    <cfRule type="expression" dxfId="223" priority="248" stopIfTrue="1">
      <formula>BG29&lt;=TODAY()</formula>
    </cfRule>
  </conditionalFormatting>
  <conditionalFormatting sqref="BG36:BH36">
    <cfRule type="expression" dxfId="222" priority="45" stopIfTrue="1">
      <formula xml:space="preserve"> AND(BG36&gt;TODAY(),BG36-TODAY()&lt;=180)</formula>
    </cfRule>
    <cfRule type="expression" dxfId="221" priority="46" stopIfTrue="1">
      <formula>BG36&lt;=TODAY()</formula>
    </cfRule>
  </conditionalFormatting>
  <conditionalFormatting sqref="BG35:BJ35">
    <cfRule type="expression" dxfId="220" priority="91" stopIfTrue="1">
      <formula xml:space="preserve"> AND(BG35&gt;TODAY(),BG35-TODAY()&lt;=180)</formula>
    </cfRule>
  </conditionalFormatting>
  <conditionalFormatting sqref="BI36:BJ36">
    <cfRule type="expression" dxfId="219" priority="65" stopIfTrue="1">
      <formula xml:space="preserve"> AND(BI36&gt;TODAY(),BI36-TODAY()&lt;=180)</formula>
    </cfRule>
    <cfRule type="expression" dxfId="218" priority="66" stopIfTrue="1">
      <formula>BI36&lt;=TODAY()</formula>
    </cfRule>
  </conditionalFormatting>
  <conditionalFormatting sqref="BJ29">
    <cfRule type="expression" dxfId="217" priority="281" stopIfTrue="1">
      <formula>BJ29&lt;=TODAY()</formula>
    </cfRule>
    <cfRule type="expression" dxfId="216" priority="280" stopIfTrue="1">
      <formula xml:space="preserve"> AND(BJ29&gt;TODAY(),BJ29-TODAY()&lt;=180)</formula>
    </cfRule>
    <cfRule type="expression" dxfId="215" priority="258" stopIfTrue="1">
      <formula>BJ29&lt;=TODAY()</formula>
    </cfRule>
    <cfRule type="expression" dxfId="214" priority="257" stopIfTrue="1">
      <formula xml:space="preserve"> AND(BJ29&gt;TODAY(),BJ29-TODAY()&lt;=180)</formula>
    </cfRule>
  </conditionalFormatting>
  <conditionalFormatting sqref="BL32:BL37">
    <cfRule type="expression" dxfId="213" priority="26" stopIfTrue="1">
      <formula xml:space="preserve"> AND(BL32&gt;TODAY(),BL32-TODAY()&lt;=180)</formula>
    </cfRule>
    <cfRule type="expression" dxfId="212" priority="11" stopIfTrue="1">
      <formula>BL32&lt;=TODAY()</formula>
    </cfRule>
  </conditionalFormatting>
  <conditionalFormatting sqref="BN32:BO32">
    <cfRule type="expression" dxfId="211" priority="193" stopIfTrue="1">
      <formula xml:space="preserve"> AND(BN32&gt;TODAY(),BN32-TODAY()&lt;=180)</formula>
    </cfRule>
    <cfRule type="expression" dxfId="210" priority="194" stopIfTrue="1">
      <formula>BN32&lt;=TODAY()</formula>
    </cfRule>
  </conditionalFormatting>
  <conditionalFormatting sqref="BO30">
    <cfRule type="expression" dxfId="209" priority="240" stopIfTrue="1">
      <formula xml:space="preserve"> AND(BO30&gt;TODAY(),BO30-TODAY()&lt;=180)</formula>
    </cfRule>
    <cfRule type="expression" dxfId="208" priority="241" stopIfTrue="1">
      <formula>BO30&lt;=TODAY()</formula>
    </cfRule>
  </conditionalFormatting>
  <conditionalFormatting sqref="CA36:CD36">
    <cfRule type="expression" dxfId="207" priority="35" stopIfTrue="1">
      <formula xml:space="preserve"> AND(CA36&gt;TODAY(),CA36-TODAY()&lt;=180)</formula>
    </cfRule>
    <cfRule type="expression" dxfId="206" priority="36" stopIfTrue="1">
      <formula>CA36&lt;=TODAY()</formula>
    </cfRule>
  </conditionalFormatting>
  <conditionalFormatting sqref="CG36:CR36">
    <cfRule type="expression" dxfId="205" priority="33" stopIfTrue="1">
      <formula xml:space="preserve"> AND(CG36&gt;TODAY(),CG36-TODAY()&lt;=180)</formula>
    </cfRule>
    <cfRule type="expression" dxfId="204" priority="34" stopIfTrue="1">
      <formula>CG36&lt;=TODAY()</formula>
    </cfRule>
  </conditionalFormatting>
  <conditionalFormatting sqref="CN35">
    <cfRule type="expression" dxfId="203" priority="71" stopIfTrue="1">
      <formula>CN35&lt;=TODAY()</formula>
    </cfRule>
    <cfRule type="expression" dxfId="202" priority="70" stopIfTrue="1">
      <formula xml:space="preserve"> AND(CN35&gt;TODAY(),CN35-TODAY()&lt;=180)</formula>
    </cfRule>
  </conditionalFormatting>
  <conditionalFormatting sqref="CP35:CR35">
    <cfRule type="expression" dxfId="201" priority="68" stopIfTrue="1">
      <formula xml:space="preserve"> AND(CP35&gt;TODAY(),CP35-TODAY()&lt;=180)</formula>
    </cfRule>
    <cfRule type="expression" dxfId="200" priority="69" stopIfTrue="1">
      <formula>CP35&lt;=TODAY()</formula>
    </cfRule>
  </conditionalFormatting>
  <pageMargins left="0.25" right="0.25" top="0.75" bottom="0.75" header="0.3" footer="0.3"/>
  <pageSetup paperSize="9" scale="1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5844-6EB0-4CE2-8AD1-00AD2243971C}">
  <sheetPr>
    <tabColor rgb="FF92D050"/>
    <pageSetUpPr fitToPage="1"/>
  </sheetPr>
  <dimension ref="A1:CY148"/>
  <sheetViews>
    <sheetView showGridLines="0" tabSelected="1" topLeftCell="B1" zoomScale="57" zoomScaleNormal="57" workbookViewId="0">
      <pane xSplit="4" ySplit="4" topLeftCell="BA107" activePane="bottomRight" state="frozen"/>
      <selection pane="bottomRight" activeCell="B1" sqref="B1:CY110"/>
      <selection pane="bottomLeft" activeCell="B5" sqref="B5"/>
      <selection pane="topRight" activeCell="F1" sqref="F1"/>
    </sheetView>
  </sheetViews>
  <sheetFormatPr defaultColWidth="9.125" defaultRowHeight="15" customHeight="1"/>
  <cols>
    <col min="1" max="1" width="5.75" hidden="1" customWidth="1"/>
    <col min="2" max="2" width="11" customWidth="1"/>
    <col min="3" max="3" width="16.75" customWidth="1"/>
    <col min="4" max="4" width="25.75" customWidth="1"/>
    <col min="5" max="5" width="34.75" customWidth="1"/>
    <col min="6" max="6" width="39.75" customWidth="1"/>
    <col min="7" max="7" width="40.25" style="42" customWidth="1"/>
    <col min="8" max="8" width="13.75" style="124" customWidth="1"/>
    <col min="9" max="9" width="13.75" customWidth="1"/>
    <col min="10" max="13" width="13.75" style="124" customWidth="1"/>
    <col min="14" max="31" width="13.75" customWidth="1"/>
    <col min="32" max="33" width="13.75" style="126" customWidth="1"/>
    <col min="34" max="96" width="13.75" customWidth="1"/>
    <col min="97" max="100" width="13.75" style="126" customWidth="1"/>
    <col min="101" max="103" width="13.75" style="68" customWidth="1"/>
    <col min="104" max="104" width="37.25" customWidth="1"/>
  </cols>
  <sheetData>
    <row r="1" spans="1:103" s="332" customFormat="1" ht="27" customHeight="1">
      <c r="A1" s="304"/>
      <c r="B1" s="529" t="s">
        <v>118</v>
      </c>
      <c r="C1" s="529"/>
      <c r="D1" s="529"/>
      <c r="E1" s="529"/>
      <c r="F1" s="77"/>
      <c r="G1" s="304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77"/>
      <c r="BM1" s="77"/>
      <c r="BN1" s="77"/>
      <c r="BO1" s="77"/>
      <c r="BP1" s="77"/>
      <c r="BQ1" s="77"/>
      <c r="BR1" s="77"/>
      <c r="BS1" s="77"/>
      <c r="BT1" s="77"/>
      <c r="CL1" s="340"/>
      <c r="CQ1" s="333"/>
      <c r="CR1" s="333"/>
      <c r="CS1" s="333"/>
      <c r="CT1" s="333"/>
      <c r="CU1" s="333"/>
      <c r="CV1" s="333"/>
      <c r="CW1" s="340"/>
      <c r="CX1" s="340"/>
      <c r="CY1" s="340"/>
    </row>
    <row r="2" spans="1:103" s="332" customFormat="1" ht="32.25" customHeight="1">
      <c r="A2" s="341" t="s">
        <v>119</v>
      </c>
      <c r="B2" s="342" t="s">
        <v>119</v>
      </c>
      <c r="C2" s="343">
        <f ca="1">TODAY()</f>
        <v>46091</v>
      </c>
      <c r="G2" s="342"/>
      <c r="H2" s="530" t="s">
        <v>120</v>
      </c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1"/>
      <c r="AT2" s="532" t="s">
        <v>121</v>
      </c>
      <c r="AU2" s="532"/>
      <c r="AV2" s="532"/>
      <c r="AW2" s="532"/>
      <c r="AX2" s="532"/>
      <c r="AY2" s="532"/>
      <c r="AZ2" s="532"/>
      <c r="BA2" s="532"/>
      <c r="BB2" s="532"/>
      <c r="BC2" s="532"/>
      <c r="BD2" s="532"/>
      <c r="BE2" s="532"/>
      <c r="BF2" s="532"/>
      <c r="BG2" s="532"/>
      <c r="BH2" s="532"/>
      <c r="BI2" s="532"/>
      <c r="BJ2" s="532"/>
      <c r="BK2" s="532"/>
      <c r="BL2" s="533" t="s">
        <v>122</v>
      </c>
      <c r="BM2" s="534"/>
      <c r="BN2" s="534"/>
      <c r="BO2" s="534"/>
      <c r="BP2" s="534"/>
      <c r="BQ2" s="534"/>
      <c r="BR2" s="534"/>
      <c r="BS2" s="534"/>
      <c r="BT2" s="534"/>
      <c r="BU2" s="535" t="s">
        <v>123</v>
      </c>
      <c r="BV2" s="536"/>
      <c r="BW2" s="536"/>
      <c r="BX2" s="536"/>
      <c r="BY2" s="536"/>
      <c r="BZ2" s="536"/>
      <c r="CA2" s="536"/>
      <c r="CB2" s="536"/>
      <c r="CC2" s="536"/>
      <c r="CD2" s="536"/>
      <c r="CE2" s="536"/>
      <c r="CF2" s="536"/>
      <c r="CG2" s="536"/>
      <c r="CH2" s="536"/>
      <c r="CI2" s="536"/>
      <c r="CJ2" s="536"/>
      <c r="CK2" s="536"/>
      <c r="CL2" s="536"/>
      <c r="CM2" s="536"/>
      <c r="CN2" s="536"/>
      <c r="CO2" s="536"/>
      <c r="CP2" s="536"/>
      <c r="CQ2" s="536"/>
      <c r="CR2" s="536"/>
      <c r="CS2" s="536"/>
      <c r="CT2" s="536"/>
      <c r="CU2" s="536"/>
      <c r="CV2" s="536"/>
      <c r="CW2" s="536"/>
      <c r="CX2" s="536"/>
      <c r="CY2" s="536"/>
    </row>
    <row r="3" spans="1:103" s="333" customFormat="1" ht="228.75" customHeight="1">
      <c r="A3" s="334"/>
      <c r="B3" s="335" t="s">
        <v>1</v>
      </c>
      <c r="C3" s="513" t="s">
        <v>124</v>
      </c>
      <c r="D3" s="514" t="s">
        <v>125</v>
      </c>
      <c r="E3" s="514" t="s">
        <v>126</v>
      </c>
      <c r="F3" s="515" t="s">
        <v>127</v>
      </c>
      <c r="G3" s="516" t="s">
        <v>128</v>
      </c>
      <c r="H3" s="344" t="s">
        <v>129</v>
      </c>
      <c r="I3" s="345" t="s">
        <v>130</v>
      </c>
      <c r="J3" s="346" t="s">
        <v>15</v>
      </c>
      <c r="K3" s="346" t="s">
        <v>131</v>
      </c>
      <c r="L3" s="346" t="s">
        <v>47</v>
      </c>
      <c r="M3" s="346" t="s">
        <v>132</v>
      </c>
      <c r="N3" s="347" t="s">
        <v>133</v>
      </c>
      <c r="O3" s="347" t="s">
        <v>134</v>
      </c>
      <c r="P3" s="347" t="s">
        <v>135</v>
      </c>
      <c r="Q3" s="347" t="s">
        <v>136</v>
      </c>
      <c r="R3" s="347" t="s">
        <v>137</v>
      </c>
      <c r="S3" s="347" t="s">
        <v>138</v>
      </c>
      <c r="T3" s="347" t="s">
        <v>139</v>
      </c>
      <c r="U3" s="347" t="s">
        <v>140</v>
      </c>
      <c r="V3" s="347" t="s">
        <v>141</v>
      </c>
      <c r="W3" s="347" t="s">
        <v>142</v>
      </c>
      <c r="X3" s="347" t="s">
        <v>143</v>
      </c>
      <c r="Y3" s="347" t="s">
        <v>144</v>
      </c>
      <c r="Z3" s="347" t="s">
        <v>145</v>
      </c>
      <c r="AA3" s="347" t="s">
        <v>146</v>
      </c>
      <c r="AB3" s="347" t="s">
        <v>147</v>
      </c>
      <c r="AC3" s="347" t="s">
        <v>148</v>
      </c>
      <c r="AD3" s="347" t="s">
        <v>149</v>
      </c>
      <c r="AE3" s="347" t="s">
        <v>150</v>
      </c>
      <c r="AF3" s="347" t="s">
        <v>151</v>
      </c>
      <c r="AG3" s="347" t="s">
        <v>152</v>
      </c>
      <c r="AH3" s="347" t="s">
        <v>153</v>
      </c>
      <c r="AI3" s="347" t="s">
        <v>154</v>
      </c>
      <c r="AJ3" s="347" t="s">
        <v>46</v>
      </c>
      <c r="AK3" s="347" t="s">
        <v>155</v>
      </c>
      <c r="AL3" s="348" t="s">
        <v>156</v>
      </c>
      <c r="AM3" s="348" t="s">
        <v>157</v>
      </c>
      <c r="AN3" s="348" t="s">
        <v>158</v>
      </c>
      <c r="AO3" s="348" t="s">
        <v>159</v>
      </c>
      <c r="AP3" s="348" t="s">
        <v>160</v>
      </c>
      <c r="AQ3" s="348" t="s">
        <v>161</v>
      </c>
      <c r="AR3" s="349" t="s">
        <v>162</v>
      </c>
      <c r="AS3" s="349" t="s">
        <v>163</v>
      </c>
      <c r="AT3" s="350" t="s">
        <v>164</v>
      </c>
      <c r="AU3" s="350" t="s">
        <v>165</v>
      </c>
      <c r="AV3" s="350" t="s">
        <v>166</v>
      </c>
      <c r="AW3" s="350" t="s">
        <v>167</v>
      </c>
      <c r="AX3" s="350" t="s">
        <v>168</v>
      </c>
      <c r="AY3" s="350" t="s">
        <v>169</v>
      </c>
      <c r="AZ3" s="350" t="s">
        <v>170</v>
      </c>
      <c r="BA3" s="350" t="s">
        <v>171</v>
      </c>
      <c r="BB3" s="350" t="s">
        <v>172</v>
      </c>
      <c r="BC3" s="350" t="s">
        <v>173</v>
      </c>
      <c r="BD3" s="350" t="s">
        <v>174</v>
      </c>
      <c r="BE3" s="350" t="s">
        <v>175</v>
      </c>
      <c r="BF3" s="350" t="s">
        <v>176</v>
      </c>
      <c r="BG3" s="350" t="s">
        <v>177</v>
      </c>
      <c r="BH3" s="350" t="s">
        <v>178</v>
      </c>
      <c r="BI3" s="350" t="s">
        <v>179</v>
      </c>
      <c r="BJ3" s="350" t="s">
        <v>180</v>
      </c>
      <c r="BK3" s="350" t="s">
        <v>181</v>
      </c>
      <c r="BL3" s="351" t="s">
        <v>182</v>
      </c>
      <c r="BM3" s="351" t="s">
        <v>183</v>
      </c>
      <c r="BN3" s="351" t="s">
        <v>184</v>
      </c>
      <c r="BO3" s="351" t="s">
        <v>185</v>
      </c>
      <c r="BP3" s="351" t="s">
        <v>186</v>
      </c>
      <c r="BQ3" s="351" t="s">
        <v>187</v>
      </c>
      <c r="BR3" s="351" t="s">
        <v>188</v>
      </c>
      <c r="BS3" s="351" t="s">
        <v>189</v>
      </c>
      <c r="BT3" s="351" t="s">
        <v>190</v>
      </c>
      <c r="BU3" s="352" t="s">
        <v>191</v>
      </c>
      <c r="BV3" s="353" t="s">
        <v>192</v>
      </c>
      <c r="BW3" s="354" t="s">
        <v>193</v>
      </c>
      <c r="BX3" s="355" t="s">
        <v>194</v>
      </c>
      <c r="BY3" s="356" t="s">
        <v>195</v>
      </c>
      <c r="BZ3" s="351" t="s">
        <v>196</v>
      </c>
      <c r="CA3" s="357" t="s">
        <v>197</v>
      </c>
      <c r="CB3" s="358" t="s">
        <v>198</v>
      </c>
      <c r="CC3" s="359" t="s">
        <v>199</v>
      </c>
      <c r="CD3" s="360" t="s">
        <v>200</v>
      </c>
      <c r="CE3" s="361" t="s">
        <v>201</v>
      </c>
      <c r="CF3" s="362" t="s">
        <v>202</v>
      </c>
      <c r="CG3" s="363" t="s">
        <v>203</v>
      </c>
      <c r="CH3" s="364" t="s">
        <v>204</v>
      </c>
      <c r="CI3" s="365" t="s">
        <v>205</v>
      </c>
      <c r="CJ3" s="430" t="s">
        <v>206</v>
      </c>
      <c r="CK3" s="430" t="s">
        <v>207</v>
      </c>
      <c r="CL3" s="430" t="s">
        <v>208</v>
      </c>
      <c r="CM3" s="358" t="s">
        <v>209</v>
      </c>
      <c r="CN3" s="366" t="s">
        <v>210</v>
      </c>
      <c r="CO3" s="367" t="s">
        <v>211</v>
      </c>
      <c r="CP3" s="368" t="s">
        <v>212</v>
      </c>
      <c r="CQ3" s="370" t="s">
        <v>213</v>
      </c>
      <c r="CR3" s="371" t="s">
        <v>214</v>
      </c>
      <c r="CS3" s="371" t="s">
        <v>215</v>
      </c>
      <c r="CT3" s="369" t="s">
        <v>216</v>
      </c>
      <c r="CU3" s="373" t="s">
        <v>217</v>
      </c>
      <c r="CV3" s="372" t="s">
        <v>219</v>
      </c>
      <c r="CW3" s="429" t="s">
        <v>220</v>
      </c>
      <c r="CX3" s="374" t="s">
        <v>221</v>
      </c>
      <c r="CY3" s="373" t="s">
        <v>222</v>
      </c>
    </row>
    <row r="4" spans="1:103" ht="50.25" customHeight="1">
      <c r="B4" s="470"/>
      <c r="C4" s="30"/>
      <c r="D4" s="79"/>
      <c r="E4" s="79" t="s">
        <v>223</v>
      </c>
      <c r="F4" s="472"/>
      <c r="G4" s="474"/>
      <c r="H4" s="475" t="s">
        <v>224</v>
      </c>
      <c r="I4" s="81" t="s">
        <v>225</v>
      </c>
      <c r="J4" s="476" t="s">
        <v>224</v>
      </c>
      <c r="K4" s="477" t="s">
        <v>225</v>
      </c>
      <c r="L4" s="476" t="s">
        <v>224</v>
      </c>
      <c r="M4" s="477" t="s">
        <v>225</v>
      </c>
      <c r="N4" s="478" t="s">
        <v>224</v>
      </c>
      <c r="O4" s="81" t="s">
        <v>225</v>
      </c>
      <c r="P4" s="478" t="s">
        <v>224</v>
      </c>
      <c r="Q4" s="81" t="s">
        <v>225</v>
      </c>
      <c r="R4" s="80" t="s">
        <v>224</v>
      </c>
      <c r="S4" s="81" t="s">
        <v>225</v>
      </c>
      <c r="T4" s="80" t="s">
        <v>224</v>
      </c>
      <c r="U4" s="81" t="s">
        <v>225</v>
      </c>
      <c r="V4" s="80" t="s">
        <v>224</v>
      </c>
      <c r="W4" s="81" t="s">
        <v>225</v>
      </c>
      <c r="X4" s="80" t="s">
        <v>224</v>
      </c>
      <c r="Y4" s="81" t="s">
        <v>225</v>
      </c>
      <c r="Z4" s="80" t="s">
        <v>224</v>
      </c>
      <c r="AA4" s="81" t="s">
        <v>225</v>
      </c>
      <c r="AB4" s="80" t="s">
        <v>224</v>
      </c>
      <c r="AC4" s="81" t="s">
        <v>225</v>
      </c>
      <c r="AD4" s="80" t="s">
        <v>224</v>
      </c>
      <c r="AE4" s="81" t="s">
        <v>225</v>
      </c>
      <c r="AF4" s="80" t="s">
        <v>224</v>
      </c>
      <c r="AG4" s="81" t="s">
        <v>225</v>
      </c>
      <c r="AH4" s="80" t="s">
        <v>224</v>
      </c>
      <c r="AI4" s="81" t="s">
        <v>225</v>
      </c>
      <c r="AJ4" s="80" t="s">
        <v>224</v>
      </c>
      <c r="AK4" s="81" t="s">
        <v>225</v>
      </c>
      <c r="AL4" s="80" t="s">
        <v>224</v>
      </c>
      <c r="AM4" s="81" t="s">
        <v>225</v>
      </c>
      <c r="AN4" s="80" t="s">
        <v>224</v>
      </c>
      <c r="AO4" s="81" t="s">
        <v>225</v>
      </c>
      <c r="AP4" s="80" t="s">
        <v>224</v>
      </c>
      <c r="AQ4" s="81" t="s">
        <v>225</v>
      </c>
      <c r="AR4" s="487" t="s">
        <v>224</v>
      </c>
      <c r="AS4" s="81" t="s">
        <v>225</v>
      </c>
      <c r="AT4" s="80" t="s">
        <v>224</v>
      </c>
      <c r="AU4" s="488" t="s">
        <v>225</v>
      </c>
      <c r="AV4" s="80" t="s">
        <v>224</v>
      </c>
      <c r="AW4" s="488" t="s">
        <v>225</v>
      </c>
      <c r="AX4" s="80" t="s">
        <v>224</v>
      </c>
      <c r="AY4" s="488" t="s">
        <v>225</v>
      </c>
      <c r="AZ4" s="80" t="s">
        <v>224</v>
      </c>
      <c r="BA4" s="488" t="s">
        <v>225</v>
      </c>
      <c r="BB4" s="80" t="s">
        <v>224</v>
      </c>
      <c r="BC4" s="488" t="s">
        <v>225</v>
      </c>
      <c r="BD4" s="80" t="s">
        <v>224</v>
      </c>
      <c r="BE4" s="488" t="s">
        <v>225</v>
      </c>
      <c r="BF4" s="80" t="s">
        <v>224</v>
      </c>
      <c r="BG4" s="81" t="s">
        <v>225</v>
      </c>
      <c r="BH4" s="80" t="s">
        <v>224</v>
      </c>
      <c r="BI4" s="81" t="s">
        <v>225</v>
      </c>
      <c r="BJ4" s="80" t="s">
        <v>224</v>
      </c>
      <c r="BK4" s="81" t="s">
        <v>225</v>
      </c>
      <c r="BL4" s="80" t="s">
        <v>224</v>
      </c>
      <c r="BM4" s="81" t="s">
        <v>225</v>
      </c>
      <c r="BN4" s="80" t="s">
        <v>224</v>
      </c>
      <c r="BO4" s="80" t="s">
        <v>224</v>
      </c>
      <c r="BP4" s="81" t="s">
        <v>225</v>
      </c>
      <c r="BQ4" s="80" t="s">
        <v>224</v>
      </c>
      <c r="BR4" s="80" t="s">
        <v>224</v>
      </c>
      <c r="BS4" s="80" t="s">
        <v>224</v>
      </c>
      <c r="BT4" s="80" t="s">
        <v>224</v>
      </c>
      <c r="BU4" s="487" t="s">
        <v>224</v>
      </c>
      <c r="BV4" s="487" t="s">
        <v>224</v>
      </c>
      <c r="BW4" s="487" t="s">
        <v>224</v>
      </c>
      <c r="BX4" s="487" t="s">
        <v>224</v>
      </c>
      <c r="BY4" s="487" t="s">
        <v>224</v>
      </c>
      <c r="BZ4" s="487" t="s">
        <v>224</v>
      </c>
      <c r="CA4" s="487" t="s">
        <v>224</v>
      </c>
      <c r="CB4" s="487" t="s">
        <v>224</v>
      </c>
      <c r="CC4" s="487" t="s">
        <v>224</v>
      </c>
      <c r="CD4" s="487" t="s">
        <v>224</v>
      </c>
      <c r="CE4" s="487" t="s">
        <v>224</v>
      </c>
      <c r="CF4" s="487" t="s">
        <v>224</v>
      </c>
      <c r="CG4" s="487" t="s">
        <v>224</v>
      </c>
      <c r="CH4" s="487" t="s">
        <v>224</v>
      </c>
      <c r="CI4" s="487" t="s">
        <v>224</v>
      </c>
      <c r="CJ4" s="487" t="s">
        <v>224</v>
      </c>
      <c r="CK4" s="487" t="s">
        <v>224</v>
      </c>
      <c r="CL4" s="487" t="s">
        <v>224</v>
      </c>
      <c r="CM4" s="487" t="s">
        <v>224</v>
      </c>
      <c r="CN4" s="487" t="s">
        <v>224</v>
      </c>
      <c r="CO4" s="487" t="s">
        <v>224</v>
      </c>
      <c r="CP4" s="487" t="s">
        <v>224</v>
      </c>
      <c r="CQ4" s="487" t="s">
        <v>224</v>
      </c>
      <c r="CR4" s="487" t="s">
        <v>224</v>
      </c>
      <c r="CS4" s="487" t="s">
        <v>224</v>
      </c>
      <c r="CT4" s="487" t="s">
        <v>224</v>
      </c>
      <c r="CU4" s="487" t="s">
        <v>224</v>
      </c>
      <c r="CV4" s="487" t="s">
        <v>224</v>
      </c>
      <c r="CW4" s="487" t="s">
        <v>224</v>
      </c>
      <c r="CX4" s="487" t="s">
        <v>224</v>
      </c>
      <c r="CY4" s="487" t="s">
        <v>224</v>
      </c>
    </row>
    <row r="5" spans="1:103" ht="50.25" customHeight="1">
      <c r="A5" s="461"/>
      <c r="B5" s="462">
        <v>1</v>
      </c>
      <c r="C5" s="463" t="s">
        <v>226</v>
      </c>
      <c r="D5" s="377" t="s">
        <v>227</v>
      </c>
      <c r="E5" s="377" t="s">
        <v>228</v>
      </c>
      <c r="F5" s="377" t="s">
        <v>229</v>
      </c>
      <c r="G5" s="439" t="s">
        <v>230</v>
      </c>
      <c r="H5" s="91">
        <v>46062</v>
      </c>
      <c r="I5" s="91">
        <f t="shared" ref="I5:I36" si="0">IF(ISBLANK(H5),"",EDATE(H5,24))-1</f>
        <v>46791</v>
      </c>
      <c r="J5" s="91">
        <v>46028</v>
      </c>
      <c r="K5" s="91">
        <f t="shared" ref="K5:K36" si="1">IF(ISBLANK(J5),"",EDATE(J5,24))-1</f>
        <v>46757</v>
      </c>
      <c r="L5" s="91">
        <v>45666</v>
      </c>
      <c r="M5" s="91">
        <f t="shared" ref="M5:M36" si="2">IF(ISBLANK(L5),"",EDATE(L5,24))-1</f>
        <v>46395</v>
      </c>
      <c r="N5" s="317" t="s">
        <v>231</v>
      </c>
      <c r="O5" s="317" t="s">
        <v>231</v>
      </c>
      <c r="P5" s="317" t="s">
        <v>231</v>
      </c>
      <c r="Q5" s="317" t="s">
        <v>231</v>
      </c>
      <c r="R5" s="319">
        <v>45797</v>
      </c>
      <c r="S5" s="91">
        <f>IF(ISBLANK(R5),"",EDATE(R5,24))-1</f>
        <v>46526</v>
      </c>
      <c r="T5" s="317">
        <v>45825</v>
      </c>
      <c r="U5" s="91">
        <f>IF(ISBLANK(T5),"",EDATE(T5,24))-1</f>
        <v>46554</v>
      </c>
      <c r="V5" s="319">
        <v>45615</v>
      </c>
      <c r="W5" s="91">
        <f>IF(ISBLANK(V5),"",EDATE(V5,24))-1</f>
        <v>46344</v>
      </c>
      <c r="X5" s="317">
        <v>45834</v>
      </c>
      <c r="Y5" s="91">
        <f>IF(ISBLANK(X5),"",EDATE(X5,24))-1</f>
        <v>46563</v>
      </c>
      <c r="Z5" s="317" t="s">
        <v>232</v>
      </c>
      <c r="AA5" s="317" t="s">
        <v>232</v>
      </c>
      <c r="AB5" s="317" t="s">
        <v>232</v>
      </c>
      <c r="AC5" s="317" t="s">
        <v>232</v>
      </c>
      <c r="AD5" s="319">
        <v>45795</v>
      </c>
      <c r="AE5" s="91">
        <f>IF(ISBLANK(AD5),"",EDATE(AD5,24))-1</f>
        <v>46524</v>
      </c>
      <c r="AF5" s="91">
        <v>45447</v>
      </c>
      <c r="AG5" s="91">
        <f t="shared" ref="AG5:AG18" si="3">IF(ISBLANK(AF5),"",EDATE(AF5,24))-1</f>
        <v>46176</v>
      </c>
      <c r="AH5" s="91">
        <v>46056</v>
      </c>
      <c r="AI5" s="91">
        <f t="shared" ref="AI5:AI23" si="4">IF(ISBLANK(AH5),"",EDATE(AH5,24))-1</f>
        <v>46785</v>
      </c>
      <c r="AJ5" s="91">
        <v>45674</v>
      </c>
      <c r="AK5" s="91">
        <f t="shared" ref="AK5:AK23" si="5">IF(ISBLANK(AJ5),"",EDATE(AJ5,24))-1</f>
        <v>46403</v>
      </c>
      <c r="AL5" s="91">
        <v>46069</v>
      </c>
      <c r="AM5" s="323">
        <f>IF(ISBLANK(AL5),"",EDATE(AL5,12))-1</f>
        <v>46433</v>
      </c>
      <c r="AN5" s="91">
        <v>45708</v>
      </c>
      <c r="AO5" s="91">
        <f t="shared" ref="AO5:AO36" si="6">IF(ISBLANK(AN5),"",EDATE(AN5,24))-1</f>
        <v>46437</v>
      </c>
      <c r="AP5" s="91">
        <v>45709</v>
      </c>
      <c r="AQ5" s="91">
        <f t="shared" ref="AQ5:AQ36" si="7">IF(ISBLANK(AP5),"",EDATE(AP5,24))-1</f>
        <v>46438</v>
      </c>
      <c r="AR5" s="91">
        <v>45784</v>
      </c>
      <c r="AS5" s="91">
        <f t="shared" ref="AS5:AS36" si="8">IF(ISBLANK(AR5),"",EDATE(AR5,24))-1</f>
        <v>46513</v>
      </c>
      <c r="AT5" s="91">
        <v>45782</v>
      </c>
      <c r="AU5" s="91">
        <f>IF(ISBLANK(AT5),"",EDATE(AT5,24))-1</f>
        <v>46511</v>
      </c>
      <c r="AV5" s="91">
        <v>45782</v>
      </c>
      <c r="AW5" s="91">
        <f t="shared" ref="AW5:AW30" si="9">IF(ISBLANK(AV5),"",EDATE(AV5,24))-1</f>
        <v>46511</v>
      </c>
      <c r="AX5" s="317" t="s">
        <v>232</v>
      </c>
      <c r="AY5" s="317" t="s">
        <v>232</v>
      </c>
      <c r="AZ5" s="317" t="s">
        <v>232</v>
      </c>
      <c r="BA5" s="317" t="s">
        <v>232</v>
      </c>
      <c r="BB5" s="317" t="s">
        <v>232</v>
      </c>
      <c r="BC5" s="317" t="s">
        <v>232</v>
      </c>
      <c r="BD5" s="317" t="s">
        <v>232</v>
      </c>
      <c r="BE5" s="317" t="s">
        <v>232</v>
      </c>
      <c r="BF5" s="317" t="s">
        <v>232</v>
      </c>
      <c r="BG5" s="317" t="s">
        <v>232</v>
      </c>
      <c r="BH5" s="317" t="s">
        <v>232</v>
      </c>
      <c r="BI5" s="317" t="s">
        <v>232</v>
      </c>
      <c r="BJ5" s="317" t="s">
        <v>232</v>
      </c>
      <c r="BK5" s="317" t="s">
        <v>232</v>
      </c>
      <c r="BL5" s="91">
        <v>45667</v>
      </c>
      <c r="BM5" s="91">
        <f t="shared" ref="BM5:BM36" si="10">IF(ISBLANK(BL5),"",EDATE(BL5,24))-1</f>
        <v>46396</v>
      </c>
      <c r="BN5" s="91">
        <v>44553</v>
      </c>
      <c r="BO5" s="317">
        <v>45757</v>
      </c>
      <c r="BP5" s="91">
        <f>IF(ISBLANK(BO5),"",EDATE(BO5,24))-1</f>
        <v>46486</v>
      </c>
      <c r="BQ5" s="317" t="s">
        <v>232</v>
      </c>
      <c r="BR5" s="317" t="s">
        <v>232</v>
      </c>
      <c r="BS5" s="91">
        <v>42975</v>
      </c>
      <c r="BT5" s="317">
        <v>43370</v>
      </c>
      <c r="BU5" s="91">
        <v>45035</v>
      </c>
      <c r="BV5" s="91">
        <v>45042</v>
      </c>
      <c r="BW5" s="91">
        <v>45128</v>
      </c>
      <c r="BX5" s="91">
        <v>45399</v>
      </c>
      <c r="BY5" s="91">
        <v>45331</v>
      </c>
      <c r="BZ5" s="91">
        <v>45324</v>
      </c>
      <c r="CA5" s="91">
        <v>45372</v>
      </c>
      <c r="CB5" s="91" t="s">
        <v>232</v>
      </c>
      <c r="CC5" s="91">
        <v>45376</v>
      </c>
      <c r="CD5" s="91">
        <v>45378</v>
      </c>
      <c r="CE5" s="91">
        <v>45483</v>
      </c>
      <c r="CF5" s="91">
        <v>45526</v>
      </c>
      <c r="CG5" s="91">
        <v>45532</v>
      </c>
      <c r="CH5" s="91">
        <v>45540</v>
      </c>
      <c r="CI5" s="91">
        <v>45546</v>
      </c>
      <c r="CJ5" s="91">
        <v>45559</v>
      </c>
      <c r="CK5" s="91">
        <v>45810</v>
      </c>
      <c r="CL5" s="10">
        <v>45981</v>
      </c>
      <c r="CM5" s="91" t="s">
        <v>232</v>
      </c>
      <c r="CN5" s="91">
        <v>45639</v>
      </c>
      <c r="CO5" s="91">
        <v>45699</v>
      </c>
      <c r="CP5" s="91">
        <v>45763</v>
      </c>
      <c r="CQ5" s="10">
        <v>45746</v>
      </c>
      <c r="CR5" s="10" t="s">
        <v>232</v>
      </c>
      <c r="CS5" s="10" t="s">
        <v>232</v>
      </c>
      <c r="CT5" s="10" t="s">
        <v>232</v>
      </c>
      <c r="CU5" s="11" t="s">
        <v>232</v>
      </c>
      <c r="CV5" s="11" t="s">
        <v>232</v>
      </c>
      <c r="CW5" s="10">
        <v>45910</v>
      </c>
      <c r="CX5" s="10"/>
      <c r="CY5" s="10"/>
    </row>
    <row r="6" spans="1:103" ht="50.25" customHeight="1">
      <c r="A6" s="461"/>
      <c r="B6" s="462">
        <v>2</v>
      </c>
      <c r="C6" s="463" t="s">
        <v>233</v>
      </c>
      <c r="D6" s="377" t="s">
        <v>234</v>
      </c>
      <c r="E6" s="377" t="s">
        <v>235</v>
      </c>
      <c r="F6" s="377" t="s">
        <v>229</v>
      </c>
      <c r="G6" s="439" t="s">
        <v>230</v>
      </c>
      <c r="H6" s="91">
        <v>46062</v>
      </c>
      <c r="I6" s="91">
        <f t="shared" si="0"/>
        <v>46791</v>
      </c>
      <c r="J6" s="91">
        <v>46028</v>
      </c>
      <c r="K6" s="91">
        <f t="shared" si="1"/>
        <v>46757</v>
      </c>
      <c r="L6" s="91">
        <v>45666</v>
      </c>
      <c r="M6" s="91">
        <f t="shared" si="2"/>
        <v>46395</v>
      </c>
      <c r="N6" s="317" t="s">
        <v>231</v>
      </c>
      <c r="O6" s="317" t="s">
        <v>231</v>
      </c>
      <c r="P6" s="317" t="s">
        <v>231</v>
      </c>
      <c r="Q6" s="317" t="s">
        <v>231</v>
      </c>
      <c r="R6" s="319">
        <v>45797</v>
      </c>
      <c r="S6" s="91">
        <f>IF(ISBLANK(R6),"",EDATE(R6,24))-1</f>
        <v>46526</v>
      </c>
      <c r="T6" s="91">
        <v>45611</v>
      </c>
      <c r="U6" s="91">
        <f>IF(ISBLANK(T6),"",EDATE(T6,24))-1</f>
        <v>46340</v>
      </c>
      <c r="V6" s="319">
        <v>45615</v>
      </c>
      <c r="W6" s="91">
        <f>IF(ISBLANK(V6),"",EDATE(V6,24))-1</f>
        <v>46344</v>
      </c>
      <c r="X6" s="319">
        <v>45604</v>
      </c>
      <c r="Y6" s="91">
        <f>IF(ISBLANK(X6),"",EDATE(X6,24))-1</f>
        <v>46333</v>
      </c>
      <c r="Z6" s="319">
        <v>45779</v>
      </c>
      <c r="AA6" s="91">
        <f>IF(ISBLANK(Z6),"",EDATE(Z6,24))-1</f>
        <v>46508</v>
      </c>
      <c r="AB6" s="319">
        <v>45819</v>
      </c>
      <c r="AC6" s="91">
        <f>IF(ISBLANK(AB6),"",EDATE(AB6,24))</f>
        <v>46549</v>
      </c>
      <c r="AD6" s="319">
        <v>45795</v>
      </c>
      <c r="AE6" s="91">
        <f>IF(ISBLANK(AD6),"",EDATE(AD6,24))-1</f>
        <v>46524</v>
      </c>
      <c r="AF6" s="387">
        <v>46065</v>
      </c>
      <c r="AG6" s="91">
        <f t="shared" si="3"/>
        <v>46794</v>
      </c>
      <c r="AH6" s="91">
        <v>45800</v>
      </c>
      <c r="AI6" s="91">
        <f t="shared" si="4"/>
        <v>46529</v>
      </c>
      <c r="AJ6" s="91">
        <v>45791</v>
      </c>
      <c r="AK6" s="91">
        <f t="shared" si="5"/>
        <v>46520</v>
      </c>
      <c r="AL6" s="91">
        <v>46069</v>
      </c>
      <c r="AM6" s="323">
        <f>IF(ISBLANK(AL6),"",EDATE(AL6,12))-1</f>
        <v>46433</v>
      </c>
      <c r="AN6" s="91">
        <v>45708</v>
      </c>
      <c r="AO6" s="91">
        <f t="shared" si="6"/>
        <v>46437</v>
      </c>
      <c r="AP6" s="91">
        <v>45709</v>
      </c>
      <c r="AQ6" s="91">
        <f t="shared" si="7"/>
        <v>46438</v>
      </c>
      <c r="AR6" s="91">
        <v>45784</v>
      </c>
      <c r="AS6" s="91">
        <f t="shared" si="8"/>
        <v>46513</v>
      </c>
      <c r="AT6" s="91">
        <v>45782</v>
      </c>
      <c r="AU6" s="91">
        <f>IF(ISBLANK(AT6),"",EDATE(AT6,24))-1</f>
        <v>46511</v>
      </c>
      <c r="AV6" s="91">
        <v>45782</v>
      </c>
      <c r="AW6" s="91">
        <f t="shared" si="9"/>
        <v>46511</v>
      </c>
      <c r="AX6" s="317" t="s">
        <v>232</v>
      </c>
      <c r="AY6" s="317" t="s">
        <v>232</v>
      </c>
      <c r="AZ6" s="317" t="s">
        <v>232</v>
      </c>
      <c r="BA6" s="317" t="s">
        <v>232</v>
      </c>
      <c r="BB6" s="317" t="s">
        <v>232</v>
      </c>
      <c r="BC6" s="317" t="s">
        <v>232</v>
      </c>
      <c r="BD6" s="317" t="s">
        <v>232</v>
      </c>
      <c r="BE6" s="317" t="s">
        <v>232</v>
      </c>
      <c r="BF6" s="317" t="s">
        <v>232</v>
      </c>
      <c r="BG6" s="317" t="s">
        <v>232</v>
      </c>
      <c r="BH6" s="317" t="s">
        <v>232</v>
      </c>
      <c r="BI6" s="317" t="s">
        <v>232</v>
      </c>
      <c r="BJ6" s="317" t="s">
        <v>232</v>
      </c>
      <c r="BK6" s="317" t="s">
        <v>232</v>
      </c>
      <c r="BL6" s="459">
        <v>45793</v>
      </c>
      <c r="BM6" s="91">
        <f t="shared" si="10"/>
        <v>46522</v>
      </c>
      <c r="BN6" s="317" t="s">
        <v>232</v>
      </c>
      <c r="BO6" s="317" t="s">
        <v>232</v>
      </c>
      <c r="BP6" s="317" t="s">
        <v>232</v>
      </c>
      <c r="BQ6" s="317" t="s">
        <v>232</v>
      </c>
      <c r="BR6" s="317" t="s">
        <v>232</v>
      </c>
      <c r="BS6" s="317" t="s">
        <v>232</v>
      </c>
      <c r="BT6" s="317">
        <v>42751</v>
      </c>
      <c r="BU6" s="91">
        <v>45035</v>
      </c>
      <c r="BV6" s="91">
        <v>45042</v>
      </c>
      <c r="BW6" s="91">
        <v>45128</v>
      </c>
      <c r="BX6" s="91">
        <v>45910</v>
      </c>
      <c r="BY6" s="91">
        <v>45331</v>
      </c>
      <c r="BZ6" s="91">
        <v>45324</v>
      </c>
      <c r="CA6" s="91">
        <v>45372</v>
      </c>
      <c r="CB6" s="91" t="s">
        <v>232</v>
      </c>
      <c r="CC6" s="91">
        <v>45376</v>
      </c>
      <c r="CD6" s="91">
        <v>45378</v>
      </c>
      <c r="CE6" s="91">
        <v>45483</v>
      </c>
      <c r="CF6" s="91">
        <v>45524</v>
      </c>
      <c r="CG6" s="91">
        <v>45532</v>
      </c>
      <c r="CH6" s="91">
        <v>45540</v>
      </c>
      <c r="CI6" s="91">
        <v>45548</v>
      </c>
      <c r="CJ6" s="91">
        <v>45559</v>
      </c>
      <c r="CK6" s="91">
        <v>45810</v>
      </c>
      <c r="CL6" s="10">
        <v>45981</v>
      </c>
      <c r="CM6" s="91">
        <v>45609</v>
      </c>
      <c r="CN6" s="91">
        <v>45639</v>
      </c>
      <c r="CO6" s="91">
        <v>45699</v>
      </c>
      <c r="CP6" s="91" t="s">
        <v>232</v>
      </c>
      <c r="CQ6" s="10">
        <v>45757</v>
      </c>
      <c r="CR6" s="10" t="s">
        <v>232</v>
      </c>
      <c r="CS6" s="10" t="s">
        <v>232</v>
      </c>
      <c r="CT6" s="10">
        <v>45947</v>
      </c>
      <c r="CU6" s="10">
        <v>45931</v>
      </c>
      <c r="CV6" s="11" t="s">
        <v>232</v>
      </c>
      <c r="CW6" s="10">
        <v>45924</v>
      </c>
      <c r="CX6" s="10">
        <v>45953</v>
      </c>
      <c r="CY6" s="10">
        <v>46017</v>
      </c>
    </row>
    <row r="7" spans="1:103" ht="115.15">
      <c r="A7" s="461"/>
      <c r="B7" s="462">
        <v>3</v>
      </c>
      <c r="C7" s="463" t="s">
        <v>236</v>
      </c>
      <c r="D7" s="377" t="s">
        <v>237</v>
      </c>
      <c r="E7" s="377" t="s">
        <v>238</v>
      </c>
      <c r="F7" s="377" t="s">
        <v>239</v>
      </c>
      <c r="G7" s="439" t="s">
        <v>240</v>
      </c>
      <c r="H7" s="319">
        <v>45792</v>
      </c>
      <c r="I7" s="91">
        <f t="shared" si="0"/>
        <v>46521</v>
      </c>
      <c r="J7" s="91">
        <v>46028</v>
      </c>
      <c r="K7" s="91">
        <f t="shared" si="1"/>
        <v>46757</v>
      </c>
      <c r="L7" s="91">
        <v>45666</v>
      </c>
      <c r="M7" s="91">
        <f t="shared" si="2"/>
        <v>46395</v>
      </c>
      <c r="N7" s="91" t="s">
        <v>231</v>
      </c>
      <c r="O7" s="91" t="s">
        <v>231</v>
      </c>
      <c r="P7" s="91" t="s">
        <v>231</v>
      </c>
      <c r="Q7" s="91" t="s">
        <v>231</v>
      </c>
      <c r="R7" s="91" t="s">
        <v>231</v>
      </c>
      <c r="S7" s="91" t="s">
        <v>231</v>
      </c>
      <c r="T7" s="317" t="s">
        <v>232</v>
      </c>
      <c r="U7" s="317" t="s">
        <v>232</v>
      </c>
      <c r="V7" s="317" t="s">
        <v>232</v>
      </c>
      <c r="W7" s="317" t="s">
        <v>232</v>
      </c>
      <c r="X7" s="317" t="s">
        <v>232</v>
      </c>
      <c r="Y7" s="317" t="s">
        <v>232</v>
      </c>
      <c r="Z7" s="317" t="s">
        <v>232</v>
      </c>
      <c r="AA7" s="317" t="s">
        <v>232</v>
      </c>
      <c r="AB7" s="317" t="s">
        <v>232</v>
      </c>
      <c r="AC7" s="317" t="s">
        <v>232</v>
      </c>
      <c r="AD7" s="317" t="s">
        <v>232</v>
      </c>
      <c r="AE7" s="317" t="s">
        <v>232</v>
      </c>
      <c r="AF7" s="319">
        <v>45663</v>
      </c>
      <c r="AG7" s="91">
        <f t="shared" si="3"/>
        <v>46392</v>
      </c>
      <c r="AH7" s="91">
        <v>46056</v>
      </c>
      <c r="AI7" s="91">
        <f t="shared" si="4"/>
        <v>46785</v>
      </c>
      <c r="AJ7" s="91">
        <v>45791</v>
      </c>
      <c r="AK7" s="91">
        <f t="shared" si="5"/>
        <v>46520</v>
      </c>
      <c r="AL7" s="91">
        <v>46069</v>
      </c>
      <c r="AM7" s="323">
        <f>IF(ISBLANK(AL7),"",EDATE(AL7,12))-1</f>
        <v>46433</v>
      </c>
      <c r="AN7" s="91">
        <v>45708</v>
      </c>
      <c r="AO7" s="91">
        <f t="shared" si="6"/>
        <v>46437</v>
      </c>
      <c r="AP7" s="91">
        <v>45709</v>
      </c>
      <c r="AQ7" s="91">
        <f t="shared" si="7"/>
        <v>46438</v>
      </c>
      <c r="AR7" s="91">
        <v>45784</v>
      </c>
      <c r="AS7" s="91">
        <f t="shared" si="8"/>
        <v>46513</v>
      </c>
      <c r="AT7" s="91">
        <v>45782</v>
      </c>
      <c r="AU7" s="91">
        <f>IF(ISBLANK(AT7),"",EDATE(AT7,24))-1</f>
        <v>46511</v>
      </c>
      <c r="AV7" s="317" t="s">
        <v>232</v>
      </c>
      <c r="AW7" s="91" t="e">
        <f t="shared" si="9"/>
        <v>#VALUE!</v>
      </c>
      <c r="AX7" s="91">
        <v>45781</v>
      </c>
      <c r="AY7" s="91">
        <f t="shared" ref="AY7:AY30" si="11">IF(ISBLANK(AX7),"",EDATE(AX7,24))-1</f>
        <v>46510</v>
      </c>
      <c r="AZ7" s="317" t="s">
        <v>232</v>
      </c>
      <c r="BA7" s="317" t="s">
        <v>232</v>
      </c>
      <c r="BB7" s="317" t="s">
        <v>232</v>
      </c>
      <c r="BC7" s="317" t="s">
        <v>232</v>
      </c>
      <c r="BD7" s="317" t="s">
        <v>232</v>
      </c>
      <c r="BE7" s="91" t="s">
        <v>232</v>
      </c>
      <c r="BF7" s="317" t="s">
        <v>232</v>
      </c>
      <c r="BG7" s="317" t="s">
        <v>232</v>
      </c>
      <c r="BH7" s="317" t="s">
        <v>232</v>
      </c>
      <c r="BI7" s="317" t="s">
        <v>232</v>
      </c>
      <c r="BJ7" s="317" t="s">
        <v>232</v>
      </c>
      <c r="BK7" s="317" t="s">
        <v>232</v>
      </c>
      <c r="BL7" s="91">
        <v>45575</v>
      </c>
      <c r="BM7" s="91">
        <f t="shared" si="10"/>
        <v>46304</v>
      </c>
      <c r="BN7" s="317" t="s">
        <v>232</v>
      </c>
      <c r="BO7" s="317" t="s">
        <v>232</v>
      </c>
      <c r="BP7" s="317" t="s">
        <v>232</v>
      </c>
      <c r="BQ7" s="317" t="s">
        <v>232</v>
      </c>
      <c r="BR7" s="317" t="s">
        <v>232</v>
      </c>
      <c r="BS7" s="91">
        <v>45483</v>
      </c>
      <c r="BT7" s="91">
        <v>41261</v>
      </c>
      <c r="BU7" s="91">
        <v>45138</v>
      </c>
      <c r="BV7" s="91">
        <v>45137</v>
      </c>
      <c r="BW7" s="91">
        <v>45465</v>
      </c>
      <c r="BX7" s="91">
        <v>45910</v>
      </c>
      <c r="BY7" s="91">
        <v>45331</v>
      </c>
      <c r="BZ7" s="91">
        <v>45324</v>
      </c>
      <c r="CA7" s="91">
        <v>45372</v>
      </c>
      <c r="CB7" s="91">
        <v>45790</v>
      </c>
      <c r="CC7" s="91">
        <v>45376</v>
      </c>
      <c r="CD7" s="91">
        <v>45378</v>
      </c>
      <c r="CE7" s="91" t="s">
        <v>232</v>
      </c>
      <c r="CF7" s="91">
        <v>45524</v>
      </c>
      <c r="CG7" s="91">
        <v>45532</v>
      </c>
      <c r="CH7" s="91">
        <v>45540</v>
      </c>
      <c r="CI7" s="91">
        <v>45548</v>
      </c>
      <c r="CJ7" s="91">
        <v>45559</v>
      </c>
      <c r="CK7" s="91" t="s">
        <v>232</v>
      </c>
      <c r="CL7" s="11" t="s">
        <v>232</v>
      </c>
      <c r="CM7" s="91">
        <v>45609</v>
      </c>
      <c r="CN7" s="91">
        <v>45639</v>
      </c>
      <c r="CO7" s="91">
        <v>45701</v>
      </c>
      <c r="CP7" s="91" t="s">
        <v>232</v>
      </c>
      <c r="CQ7" s="10">
        <v>45743</v>
      </c>
      <c r="CR7" s="10" t="s">
        <v>232</v>
      </c>
      <c r="CS7" s="10" t="s">
        <v>232</v>
      </c>
      <c r="CT7" s="10" t="s">
        <v>232</v>
      </c>
      <c r="CU7" s="10">
        <v>45931</v>
      </c>
      <c r="CV7" s="11" t="s">
        <v>232</v>
      </c>
      <c r="CW7" s="10">
        <v>45882</v>
      </c>
      <c r="CX7" s="10">
        <v>45951</v>
      </c>
      <c r="CY7" s="10">
        <v>46017</v>
      </c>
    </row>
    <row r="8" spans="1:103" ht="167.25" customHeight="1">
      <c r="A8" s="461"/>
      <c r="B8" s="462">
        <v>4</v>
      </c>
      <c r="C8" s="463" t="s">
        <v>241</v>
      </c>
      <c r="D8" s="377" t="s">
        <v>242</v>
      </c>
      <c r="E8" s="377" t="s">
        <v>243</v>
      </c>
      <c r="F8" s="377" t="s">
        <v>239</v>
      </c>
      <c r="G8" s="440" t="s">
        <v>244</v>
      </c>
      <c r="H8" s="319">
        <v>45792</v>
      </c>
      <c r="I8" s="91">
        <f t="shared" si="0"/>
        <v>46521</v>
      </c>
      <c r="J8" s="91">
        <v>46028</v>
      </c>
      <c r="K8" s="91">
        <f t="shared" si="1"/>
        <v>46757</v>
      </c>
      <c r="L8" s="91">
        <v>45666</v>
      </c>
      <c r="M8" s="91">
        <f t="shared" si="2"/>
        <v>46395</v>
      </c>
      <c r="N8" s="91">
        <v>45818</v>
      </c>
      <c r="O8" s="91">
        <f>IF(ISBLANK(N8),"",EDATE(N8,24))-1</f>
        <v>46547</v>
      </c>
      <c r="P8" s="91">
        <v>45818</v>
      </c>
      <c r="Q8" s="91">
        <f>IF(ISBLANK(P8),"",EDATE(P8,24))-1</f>
        <v>46547</v>
      </c>
      <c r="R8" s="319">
        <v>45797</v>
      </c>
      <c r="S8" s="91">
        <f>IF(ISBLANK(R8),"",EDATE(R8,24))</f>
        <v>46527</v>
      </c>
      <c r="T8" s="317" t="s">
        <v>231</v>
      </c>
      <c r="U8" s="317" t="s">
        <v>231</v>
      </c>
      <c r="V8" s="317" t="s">
        <v>232</v>
      </c>
      <c r="W8" s="317" t="s">
        <v>232</v>
      </c>
      <c r="X8" s="319">
        <v>45604</v>
      </c>
      <c r="Y8" s="91">
        <f>IF(ISBLANK(X8),"",EDATE(X8,24))-1</f>
        <v>46333</v>
      </c>
      <c r="Z8" s="317" t="s">
        <v>232</v>
      </c>
      <c r="AA8" s="317" t="s">
        <v>232</v>
      </c>
      <c r="AB8" s="317" t="s">
        <v>232</v>
      </c>
      <c r="AC8" s="317" t="s">
        <v>232</v>
      </c>
      <c r="AD8" s="317" t="s">
        <v>232</v>
      </c>
      <c r="AE8" s="317" t="s">
        <v>232</v>
      </c>
      <c r="AF8" s="319">
        <v>45663</v>
      </c>
      <c r="AG8" s="91">
        <f t="shared" si="3"/>
        <v>46392</v>
      </c>
      <c r="AH8" s="91">
        <v>45820</v>
      </c>
      <c r="AI8" s="91">
        <f t="shared" si="4"/>
        <v>46549</v>
      </c>
      <c r="AJ8" s="91">
        <v>45744</v>
      </c>
      <c r="AK8" s="91">
        <f t="shared" si="5"/>
        <v>46473</v>
      </c>
      <c r="AL8" s="91">
        <v>46069</v>
      </c>
      <c r="AM8" s="91">
        <f>IF(ISBLANK(AL8),"",EDATE(AL8,12))-1</f>
        <v>46433</v>
      </c>
      <c r="AN8" s="91">
        <v>46032</v>
      </c>
      <c r="AO8" s="91">
        <f t="shared" si="6"/>
        <v>46761</v>
      </c>
      <c r="AP8" s="91">
        <v>45709</v>
      </c>
      <c r="AQ8" s="91">
        <f t="shared" si="7"/>
        <v>46438</v>
      </c>
      <c r="AR8" s="91">
        <v>45784</v>
      </c>
      <c r="AS8" s="91">
        <f t="shared" si="8"/>
        <v>46513</v>
      </c>
      <c r="AT8" s="317" t="s">
        <v>232</v>
      </c>
      <c r="AU8" s="317" t="s">
        <v>232</v>
      </c>
      <c r="AV8" s="317" t="s">
        <v>232</v>
      </c>
      <c r="AW8" s="91" t="e">
        <f t="shared" si="9"/>
        <v>#VALUE!</v>
      </c>
      <c r="AX8" s="319">
        <v>45614</v>
      </c>
      <c r="AY8" s="91">
        <f t="shared" si="11"/>
        <v>46343</v>
      </c>
      <c r="AZ8" s="317">
        <v>45812</v>
      </c>
      <c r="BA8" s="91">
        <f t="shared" ref="BA8:BA39" si="12">IF(ISBLANK(AZ8),"",EDATE(AZ8,24))-1</f>
        <v>46541</v>
      </c>
      <c r="BB8" s="317" t="s">
        <v>232</v>
      </c>
      <c r="BC8" s="317" t="s">
        <v>232</v>
      </c>
      <c r="BD8" s="317" t="s">
        <v>232</v>
      </c>
      <c r="BE8" s="317" t="s">
        <v>232</v>
      </c>
      <c r="BF8" s="317" t="s">
        <v>232</v>
      </c>
      <c r="BG8" s="317" t="s">
        <v>232</v>
      </c>
      <c r="BH8" s="317" t="s">
        <v>232</v>
      </c>
      <c r="BI8" s="317" t="s">
        <v>232</v>
      </c>
      <c r="BJ8" s="317" t="s">
        <v>232</v>
      </c>
      <c r="BK8" s="317" t="s">
        <v>232</v>
      </c>
      <c r="BL8" s="317">
        <v>45667</v>
      </c>
      <c r="BM8" s="91">
        <f t="shared" si="10"/>
        <v>46396</v>
      </c>
      <c r="BN8" s="317" t="s">
        <v>232</v>
      </c>
      <c r="BO8" s="317" t="s">
        <v>232</v>
      </c>
      <c r="BP8" s="317" t="s">
        <v>232</v>
      </c>
      <c r="BQ8" s="317" t="s">
        <v>232</v>
      </c>
      <c r="BR8" s="317" t="s">
        <v>232</v>
      </c>
      <c r="BS8" s="317" t="s">
        <v>232</v>
      </c>
      <c r="BT8" s="317" t="s">
        <v>232</v>
      </c>
      <c r="BU8" s="91">
        <v>45241</v>
      </c>
      <c r="BV8" s="91">
        <v>45243</v>
      </c>
      <c r="BW8" s="91">
        <v>45240</v>
      </c>
      <c r="BX8" s="91">
        <v>45280</v>
      </c>
      <c r="BY8" s="91">
        <v>45331</v>
      </c>
      <c r="BZ8" s="91">
        <v>45324</v>
      </c>
      <c r="CA8" s="91">
        <v>45372</v>
      </c>
      <c r="CB8" s="91">
        <v>45790</v>
      </c>
      <c r="CC8" s="91">
        <v>45376</v>
      </c>
      <c r="CD8" s="91">
        <v>45378</v>
      </c>
      <c r="CE8" s="91">
        <v>45483</v>
      </c>
      <c r="CF8" s="91">
        <v>45524</v>
      </c>
      <c r="CG8" s="91">
        <v>45532</v>
      </c>
      <c r="CH8" s="91">
        <v>45616</v>
      </c>
      <c r="CI8" s="91">
        <v>45546</v>
      </c>
      <c r="CJ8" s="91">
        <v>45559</v>
      </c>
      <c r="CK8" s="91" t="s">
        <v>232</v>
      </c>
      <c r="CL8" s="11" t="s">
        <v>232</v>
      </c>
      <c r="CM8" s="91" t="s">
        <v>232</v>
      </c>
      <c r="CN8" s="91">
        <v>45639</v>
      </c>
      <c r="CO8" s="91">
        <v>45699</v>
      </c>
      <c r="CP8" s="91" t="s">
        <v>232</v>
      </c>
      <c r="CQ8" s="10">
        <v>45749</v>
      </c>
      <c r="CR8" s="10" t="s">
        <v>232</v>
      </c>
      <c r="CS8" s="10" t="s">
        <v>232</v>
      </c>
      <c r="CT8" s="10" t="s">
        <v>232</v>
      </c>
      <c r="CU8" s="11">
        <v>46070</v>
      </c>
      <c r="CV8" s="11" t="s">
        <v>232</v>
      </c>
      <c r="CW8" s="11" t="s">
        <v>232</v>
      </c>
      <c r="CX8" s="11"/>
      <c r="CY8" s="10">
        <v>46017</v>
      </c>
    </row>
    <row r="9" spans="1:103" ht="50.25" customHeight="1">
      <c r="A9" s="461"/>
      <c r="B9" s="462">
        <v>5</v>
      </c>
      <c r="C9" s="463" t="s">
        <v>245</v>
      </c>
      <c r="D9" s="377" t="s">
        <v>246</v>
      </c>
      <c r="E9" s="377" t="s">
        <v>247</v>
      </c>
      <c r="F9" s="377" t="s">
        <v>248</v>
      </c>
      <c r="G9" s="439" t="s">
        <v>249</v>
      </c>
      <c r="H9" s="319">
        <v>45792</v>
      </c>
      <c r="I9" s="91">
        <f t="shared" si="0"/>
        <v>46521</v>
      </c>
      <c r="J9" s="91">
        <v>46028</v>
      </c>
      <c r="K9" s="91">
        <f t="shared" si="1"/>
        <v>46757</v>
      </c>
      <c r="L9" s="91">
        <v>45666</v>
      </c>
      <c r="M9" s="91">
        <f t="shared" si="2"/>
        <v>46395</v>
      </c>
      <c r="N9" s="91" t="s">
        <v>231</v>
      </c>
      <c r="O9" s="91" t="s">
        <v>231</v>
      </c>
      <c r="P9" s="91" t="s">
        <v>231</v>
      </c>
      <c r="Q9" s="91" t="s">
        <v>231</v>
      </c>
      <c r="R9" s="319">
        <v>45797</v>
      </c>
      <c r="S9" s="91">
        <f t="shared" ref="S9:S17" si="13">IF(ISBLANK(R9),"",EDATE(R9,24))-1</f>
        <v>46526</v>
      </c>
      <c r="T9" s="91">
        <v>45611</v>
      </c>
      <c r="U9" s="91">
        <f t="shared" ref="U9:U19" si="14">IF(ISBLANK(T9),"",EDATE(T9,24))-1</f>
        <v>46340</v>
      </c>
      <c r="V9" s="91">
        <v>45695</v>
      </c>
      <c r="W9" s="91">
        <f t="shared" ref="W9:W17" si="15">IF(ISBLANK(V9),"",EDATE(V9,24))-1</f>
        <v>46424</v>
      </c>
      <c r="X9" s="317" t="s">
        <v>232</v>
      </c>
      <c r="Y9" s="317" t="s">
        <v>232</v>
      </c>
      <c r="Z9" s="317" t="s">
        <v>232</v>
      </c>
      <c r="AA9" s="317" t="s">
        <v>232</v>
      </c>
      <c r="AB9" s="317" t="s">
        <v>232</v>
      </c>
      <c r="AC9" s="317" t="s">
        <v>232</v>
      </c>
      <c r="AD9" s="319">
        <v>45795</v>
      </c>
      <c r="AE9" s="91">
        <f t="shared" ref="AE9:AE17" si="16">IF(ISBLANK(AD9),"",EDATE(AD9,24))-1</f>
        <v>46524</v>
      </c>
      <c r="AF9" s="319">
        <v>45821</v>
      </c>
      <c r="AG9" s="91">
        <f t="shared" si="3"/>
        <v>46550</v>
      </c>
      <c r="AH9" s="91">
        <v>46056</v>
      </c>
      <c r="AI9" s="91">
        <f t="shared" si="4"/>
        <v>46785</v>
      </c>
      <c r="AJ9" s="91">
        <v>45674</v>
      </c>
      <c r="AK9" s="91">
        <f t="shared" si="5"/>
        <v>46403</v>
      </c>
      <c r="AL9" s="91">
        <v>46069</v>
      </c>
      <c r="AM9" s="323">
        <f>IF(ISBLANK(AL9),"",EDATE(AL9,12))-1</f>
        <v>46433</v>
      </c>
      <c r="AN9" s="91">
        <v>46032</v>
      </c>
      <c r="AO9" s="91">
        <f t="shared" si="6"/>
        <v>46761</v>
      </c>
      <c r="AP9" s="91">
        <v>45709</v>
      </c>
      <c r="AQ9" s="91">
        <f t="shared" si="7"/>
        <v>46438</v>
      </c>
      <c r="AR9" s="91">
        <v>45784</v>
      </c>
      <c r="AS9" s="91">
        <f t="shared" si="8"/>
        <v>46513</v>
      </c>
      <c r="AT9" s="91">
        <v>45782</v>
      </c>
      <c r="AU9" s="91">
        <f>IF(ISBLANK(AT9),"",EDATE(AT9,24))-1</f>
        <v>46511</v>
      </c>
      <c r="AV9" s="91">
        <v>45782</v>
      </c>
      <c r="AW9" s="91">
        <f t="shared" si="9"/>
        <v>46511</v>
      </c>
      <c r="AX9" s="91"/>
      <c r="AY9" s="91" t="e">
        <f t="shared" si="11"/>
        <v>#VALUE!</v>
      </c>
      <c r="AZ9" s="317" t="s">
        <v>232</v>
      </c>
      <c r="BA9" s="91" t="e">
        <f t="shared" si="12"/>
        <v>#VALUE!</v>
      </c>
      <c r="BB9" s="317" t="s">
        <v>232</v>
      </c>
      <c r="BC9" s="317" t="s">
        <v>232</v>
      </c>
      <c r="BD9" s="317" t="s">
        <v>232</v>
      </c>
      <c r="BE9" s="317" t="s">
        <v>232</v>
      </c>
      <c r="BF9" s="317" t="s">
        <v>232</v>
      </c>
      <c r="BG9" s="317" t="s">
        <v>232</v>
      </c>
      <c r="BH9" s="317" t="s">
        <v>232</v>
      </c>
      <c r="BI9" s="317" t="s">
        <v>232</v>
      </c>
      <c r="BJ9" s="317" t="s">
        <v>232</v>
      </c>
      <c r="BK9" s="317" t="s">
        <v>232</v>
      </c>
      <c r="BL9" s="91">
        <v>45456</v>
      </c>
      <c r="BM9" s="91">
        <f t="shared" si="10"/>
        <v>46185</v>
      </c>
      <c r="BN9" s="317" t="s">
        <v>232</v>
      </c>
      <c r="BO9" s="317" t="s">
        <v>232</v>
      </c>
      <c r="BP9" s="317" t="s">
        <v>232</v>
      </c>
      <c r="BQ9" s="317" t="s">
        <v>232</v>
      </c>
      <c r="BR9" s="317" t="s">
        <v>232</v>
      </c>
      <c r="BS9" s="317" t="s">
        <v>232</v>
      </c>
      <c r="BT9" s="317">
        <v>42145</v>
      </c>
      <c r="BU9" s="91">
        <v>45241</v>
      </c>
      <c r="BV9" s="91">
        <v>45243</v>
      </c>
      <c r="BW9" s="91">
        <v>45240</v>
      </c>
      <c r="BX9" s="91">
        <v>45910</v>
      </c>
      <c r="BY9" s="91">
        <v>45331</v>
      </c>
      <c r="BZ9" s="91">
        <v>46000</v>
      </c>
      <c r="CA9" s="91">
        <v>45372</v>
      </c>
      <c r="CB9" s="91" t="s">
        <v>232</v>
      </c>
      <c r="CC9" s="91">
        <v>45376</v>
      </c>
      <c r="CD9" s="91">
        <v>45378</v>
      </c>
      <c r="CE9" s="91">
        <v>45483</v>
      </c>
      <c r="CF9" s="91">
        <v>45524</v>
      </c>
      <c r="CG9" s="91">
        <v>45532</v>
      </c>
      <c r="CH9" s="91">
        <v>45540</v>
      </c>
      <c r="CI9" s="91">
        <v>45548</v>
      </c>
      <c r="CJ9" s="91">
        <v>45559</v>
      </c>
      <c r="CK9" s="91">
        <v>45810</v>
      </c>
      <c r="CL9" s="10">
        <v>45981</v>
      </c>
      <c r="CM9" s="91" t="s">
        <v>232</v>
      </c>
      <c r="CN9" s="91">
        <v>45639</v>
      </c>
      <c r="CO9" s="91">
        <v>45699</v>
      </c>
      <c r="CP9" s="91" t="s">
        <v>232</v>
      </c>
      <c r="CQ9" s="10">
        <v>45743</v>
      </c>
      <c r="CR9" s="10" t="s">
        <v>232</v>
      </c>
      <c r="CS9" s="10" t="s">
        <v>232</v>
      </c>
      <c r="CT9" s="10" t="s">
        <v>232</v>
      </c>
      <c r="CU9" s="11" t="s">
        <v>232</v>
      </c>
      <c r="CV9" s="11" t="s">
        <v>232</v>
      </c>
      <c r="CW9" s="11" t="s">
        <v>232</v>
      </c>
      <c r="CX9" s="11"/>
      <c r="CY9" s="10"/>
    </row>
    <row r="10" spans="1:103" ht="50.25" customHeight="1">
      <c r="A10" s="461"/>
      <c r="B10" s="462">
        <v>6</v>
      </c>
      <c r="C10" s="463" t="s">
        <v>250</v>
      </c>
      <c r="D10" s="377" t="s">
        <v>251</v>
      </c>
      <c r="E10" s="377" t="s">
        <v>252</v>
      </c>
      <c r="F10" s="377" t="s">
        <v>253</v>
      </c>
      <c r="G10" s="441" t="s">
        <v>232</v>
      </c>
      <c r="H10" s="91">
        <v>46062</v>
      </c>
      <c r="I10" s="91">
        <f t="shared" si="0"/>
        <v>46791</v>
      </c>
      <c r="J10" s="91">
        <v>46028</v>
      </c>
      <c r="K10" s="91">
        <f t="shared" si="1"/>
        <v>46757</v>
      </c>
      <c r="L10" s="319">
        <v>46058</v>
      </c>
      <c r="M10" s="91">
        <f t="shared" si="2"/>
        <v>46787</v>
      </c>
      <c r="N10" s="91">
        <v>46084</v>
      </c>
      <c r="O10" s="91">
        <f t="shared" ref="O10:O16" si="17">IF(ISBLANK(N10),"",EDATE(N10,24))-1</f>
        <v>46814</v>
      </c>
      <c r="P10" s="91">
        <v>46084</v>
      </c>
      <c r="Q10" s="91">
        <f t="shared" ref="Q10:Q16" si="18">IF(ISBLANK(P10),"",EDATE(P10,24))-1</f>
        <v>46814</v>
      </c>
      <c r="R10" s="91">
        <v>45433</v>
      </c>
      <c r="S10" s="91">
        <f t="shared" si="13"/>
        <v>46162</v>
      </c>
      <c r="T10" s="91">
        <v>45611</v>
      </c>
      <c r="U10" s="91">
        <f t="shared" si="14"/>
        <v>46340</v>
      </c>
      <c r="V10" s="91">
        <v>45695</v>
      </c>
      <c r="W10" s="91">
        <f t="shared" si="15"/>
        <v>46424</v>
      </c>
      <c r="X10" s="91">
        <v>45685</v>
      </c>
      <c r="Y10" s="91">
        <f>IF(ISBLANK(X10),"",EDATE(X10,24))-1</f>
        <v>46414</v>
      </c>
      <c r="Z10" s="319">
        <v>45779</v>
      </c>
      <c r="AA10" s="91">
        <f>IF(ISBLANK(Z10),"",EDATE(Z10,24))-1</f>
        <v>46508</v>
      </c>
      <c r="AB10" s="317" t="s">
        <v>232</v>
      </c>
      <c r="AC10" s="317" t="s">
        <v>232</v>
      </c>
      <c r="AD10" s="319">
        <v>45795</v>
      </c>
      <c r="AE10" s="91">
        <f t="shared" si="16"/>
        <v>46524</v>
      </c>
      <c r="AF10" s="387">
        <v>46065</v>
      </c>
      <c r="AG10" s="91">
        <f t="shared" si="3"/>
        <v>46794</v>
      </c>
      <c r="AH10" s="91">
        <v>46056</v>
      </c>
      <c r="AI10" s="91">
        <f t="shared" si="4"/>
        <v>46785</v>
      </c>
      <c r="AJ10" s="91">
        <v>46063</v>
      </c>
      <c r="AK10" s="91">
        <f t="shared" si="5"/>
        <v>46792</v>
      </c>
      <c r="AL10" s="91">
        <v>46069</v>
      </c>
      <c r="AM10" s="91">
        <f>IF(ISBLANK(AL10),"",EDATE(AL10,24))</f>
        <v>46799</v>
      </c>
      <c r="AN10" s="91">
        <v>46032</v>
      </c>
      <c r="AO10" s="91">
        <f t="shared" si="6"/>
        <v>46761</v>
      </c>
      <c r="AP10" s="91">
        <v>45709</v>
      </c>
      <c r="AQ10" s="91">
        <f t="shared" si="7"/>
        <v>46438</v>
      </c>
      <c r="AR10" s="91">
        <v>45784</v>
      </c>
      <c r="AS10" s="91">
        <f t="shared" si="8"/>
        <v>46513</v>
      </c>
      <c r="AT10" s="317" t="s">
        <v>232</v>
      </c>
      <c r="AU10" s="317" t="s">
        <v>232</v>
      </c>
      <c r="AV10" s="317" t="s">
        <v>232</v>
      </c>
      <c r="AW10" s="91" t="e">
        <f t="shared" si="9"/>
        <v>#VALUE!</v>
      </c>
      <c r="AX10" s="317" t="s">
        <v>232</v>
      </c>
      <c r="AY10" s="91" t="e">
        <f t="shared" si="11"/>
        <v>#VALUE!</v>
      </c>
      <c r="AZ10" s="317" t="s">
        <v>232</v>
      </c>
      <c r="BA10" s="91" t="e">
        <f t="shared" si="12"/>
        <v>#VALUE!</v>
      </c>
      <c r="BB10" s="317" t="s">
        <v>232</v>
      </c>
      <c r="BC10" s="317" t="s">
        <v>232</v>
      </c>
      <c r="BD10" s="317" t="s">
        <v>232</v>
      </c>
      <c r="BE10" s="317" t="s">
        <v>232</v>
      </c>
      <c r="BF10" s="317" t="s">
        <v>232</v>
      </c>
      <c r="BG10" s="317" t="s">
        <v>232</v>
      </c>
      <c r="BH10" s="317" t="s">
        <v>232</v>
      </c>
      <c r="BI10" s="317" t="s">
        <v>232</v>
      </c>
      <c r="BJ10" s="317" t="s">
        <v>232</v>
      </c>
      <c r="BK10" s="317" t="s">
        <v>232</v>
      </c>
      <c r="BL10" s="91">
        <v>45456</v>
      </c>
      <c r="BM10" s="91">
        <f t="shared" si="10"/>
        <v>46185</v>
      </c>
      <c r="BN10" s="317" t="s">
        <v>232</v>
      </c>
      <c r="BO10" s="317" t="s">
        <v>232</v>
      </c>
      <c r="BP10" s="317" t="s">
        <v>232</v>
      </c>
      <c r="BQ10" s="317" t="s">
        <v>232</v>
      </c>
      <c r="BR10" s="317" t="s">
        <v>232</v>
      </c>
      <c r="BS10" s="317" t="s">
        <v>232</v>
      </c>
      <c r="BT10" s="317" t="s">
        <v>232</v>
      </c>
      <c r="BU10" s="91">
        <v>45466</v>
      </c>
      <c r="BV10" s="91">
        <v>45477</v>
      </c>
      <c r="BW10" s="91">
        <v>45465</v>
      </c>
      <c r="BX10" s="91">
        <v>45399</v>
      </c>
      <c r="BY10" s="91">
        <v>45331</v>
      </c>
      <c r="BZ10" s="91">
        <v>45324</v>
      </c>
      <c r="CA10" s="91">
        <v>45372</v>
      </c>
      <c r="CB10" s="91" t="s">
        <v>232</v>
      </c>
      <c r="CC10" s="91">
        <v>45376</v>
      </c>
      <c r="CD10" s="91">
        <v>45378</v>
      </c>
      <c r="CE10" s="91">
        <v>45483</v>
      </c>
      <c r="CF10" s="91">
        <v>45524</v>
      </c>
      <c r="CG10" s="91">
        <v>45532</v>
      </c>
      <c r="CH10" s="91">
        <v>45540</v>
      </c>
      <c r="CI10" s="91">
        <v>46049</v>
      </c>
      <c r="CJ10" s="91">
        <v>45559</v>
      </c>
      <c r="CK10" s="91" t="s">
        <v>232</v>
      </c>
      <c r="CL10" s="11" t="s">
        <v>232</v>
      </c>
      <c r="CM10" s="91" t="s">
        <v>232</v>
      </c>
      <c r="CN10" s="91">
        <v>45639</v>
      </c>
      <c r="CO10" s="91">
        <v>45702</v>
      </c>
      <c r="CP10" s="91" t="s">
        <v>232</v>
      </c>
      <c r="CQ10" s="10">
        <v>45746</v>
      </c>
      <c r="CR10" s="10" t="s">
        <v>232</v>
      </c>
      <c r="CS10" s="10" t="s">
        <v>232</v>
      </c>
      <c r="CT10" s="10" t="s">
        <v>232</v>
      </c>
      <c r="CU10" s="11" t="s">
        <v>232</v>
      </c>
      <c r="CV10" s="11" t="s">
        <v>232</v>
      </c>
      <c r="CW10" s="11" t="s">
        <v>232</v>
      </c>
      <c r="CX10" s="11"/>
      <c r="CY10" s="11"/>
    </row>
    <row r="11" spans="1:103" ht="50.25" customHeight="1">
      <c r="B11" s="462">
        <v>7</v>
      </c>
      <c r="C11" s="464" t="s">
        <v>254</v>
      </c>
      <c r="D11" s="377" t="s">
        <v>255</v>
      </c>
      <c r="E11" s="377" t="s">
        <v>256</v>
      </c>
      <c r="F11" s="377" t="s">
        <v>257</v>
      </c>
      <c r="G11" s="441" t="s">
        <v>232</v>
      </c>
      <c r="H11" s="91">
        <v>46062</v>
      </c>
      <c r="I11" s="91">
        <f t="shared" si="0"/>
        <v>46791</v>
      </c>
      <c r="J11" s="91">
        <v>46028</v>
      </c>
      <c r="K11" s="91">
        <f t="shared" si="1"/>
        <v>46757</v>
      </c>
      <c r="L11" s="319">
        <v>45481</v>
      </c>
      <c r="M11" s="91">
        <f t="shared" si="2"/>
        <v>46210</v>
      </c>
      <c r="N11" s="91">
        <v>45426</v>
      </c>
      <c r="O11" s="91">
        <f t="shared" si="17"/>
        <v>46155</v>
      </c>
      <c r="P11" s="91">
        <v>45426</v>
      </c>
      <c r="Q11" s="91">
        <f t="shared" si="18"/>
        <v>46155</v>
      </c>
      <c r="R11" s="91">
        <v>45433</v>
      </c>
      <c r="S11" s="91">
        <f t="shared" si="13"/>
        <v>46162</v>
      </c>
      <c r="T11" s="91">
        <v>45611</v>
      </c>
      <c r="U11" s="91">
        <f t="shared" si="14"/>
        <v>46340</v>
      </c>
      <c r="V11" s="319">
        <v>45615</v>
      </c>
      <c r="W11" s="91">
        <f t="shared" si="15"/>
        <v>46344</v>
      </c>
      <c r="X11" s="319">
        <v>45604</v>
      </c>
      <c r="Y11" s="91">
        <f>IF(ISBLANK(X11),"",EDATE(X11,24))</f>
        <v>46334</v>
      </c>
      <c r="Z11" s="319">
        <v>45779</v>
      </c>
      <c r="AA11" s="91">
        <f>IF(ISBLANK(Z11),"",EDATE(Z11,24))-1</f>
        <v>46508</v>
      </c>
      <c r="AB11" s="319">
        <v>45819</v>
      </c>
      <c r="AC11" s="91">
        <f>IF(ISBLANK(AB11),"",EDATE(AB11,24))-1</f>
        <v>46548</v>
      </c>
      <c r="AD11" s="319">
        <v>45795</v>
      </c>
      <c r="AE11" s="91">
        <f t="shared" si="16"/>
        <v>46524</v>
      </c>
      <c r="AF11" s="387">
        <v>46065</v>
      </c>
      <c r="AG11" s="91">
        <f t="shared" si="3"/>
        <v>46794</v>
      </c>
      <c r="AH11" s="91">
        <v>45388</v>
      </c>
      <c r="AI11" s="91">
        <f t="shared" si="4"/>
        <v>46117</v>
      </c>
      <c r="AJ11" s="91">
        <v>46063</v>
      </c>
      <c r="AK11" s="91">
        <f t="shared" si="5"/>
        <v>46792</v>
      </c>
      <c r="AL11" s="91">
        <v>46069</v>
      </c>
      <c r="AM11" s="91">
        <f>IF(ISBLANK(AL11),"",EDATE(AL11,24))</f>
        <v>46799</v>
      </c>
      <c r="AN11" s="91">
        <v>46032</v>
      </c>
      <c r="AO11" s="91">
        <f t="shared" si="6"/>
        <v>46761</v>
      </c>
      <c r="AP11" s="91">
        <v>45709</v>
      </c>
      <c r="AQ11" s="91">
        <f t="shared" si="7"/>
        <v>46438</v>
      </c>
      <c r="AR11" s="91">
        <v>45784</v>
      </c>
      <c r="AS11" s="91">
        <f t="shared" si="8"/>
        <v>46513</v>
      </c>
      <c r="AT11" s="317" t="s">
        <v>232</v>
      </c>
      <c r="AU11" s="317" t="s">
        <v>232</v>
      </c>
      <c r="AV11" s="317" t="s">
        <v>232</v>
      </c>
      <c r="AW11" s="91" t="e">
        <f t="shared" si="9"/>
        <v>#VALUE!</v>
      </c>
      <c r="AX11" s="317" t="s">
        <v>232</v>
      </c>
      <c r="AY11" s="91" t="e">
        <f t="shared" si="11"/>
        <v>#VALUE!</v>
      </c>
      <c r="AZ11" s="317" t="s">
        <v>232</v>
      </c>
      <c r="BA11" s="91" t="e">
        <f t="shared" si="12"/>
        <v>#VALUE!</v>
      </c>
      <c r="BB11" s="317" t="s">
        <v>232</v>
      </c>
      <c r="BC11" s="317" t="s">
        <v>232</v>
      </c>
      <c r="BD11" s="317" t="s">
        <v>232</v>
      </c>
      <c r="BE11" s="317" t="s">
        <v>232</v>
      </c>
      <c r="BF11" s="317" t="s">
        <v>232</v>
      </c>
      <c r="BG11" s="317" t="s">
        <v>232</v>
      </c>
      <c r="BH11" s="317" t="s">
        <v>232</v>
      </c>
      <c r="BI11" s="317" t="s">
        <v>232</v>
      </c>
      <c r="BJ11" s="317" t="s">
        <v>232</v>
      </c>
      <c r="BK11" s="317" t="s">
        <v>232</v>
      </c>
      <c r="BL11" s="91">
        <v>45575</v>
      </c>
      <c r="BM11" s="91">
        <f t="shared" si="10"/>
        <v>46304</v>
      </c>
      <c r="BN11" s="91" t="s">
        <v>232</v>
      </c>
      <c r="BO11" s="317" t="s">
        <v>232</v>
      </c>
      <c r="BP11" s="317" t="s">
        <v>232</v>
      </c>
      <c r="BQ11" s="91">
        <v>43126</v>
      </c>
      <c r="BR11" s="91">
        <v>45393</v>
      </c>
      <c r="BS11" s="91">
        <v>44060</v>
      </c>
      <c r="BT11" s="91" t="s">
        <v>232</v>
      </c>
      <c r="BU11" s="91">
        <v>45466</v>
      </c>
      <c r="BV11" s="91">
        <v>45477</v>
      </c>
      <c r="BW11" s="91">
        <v>45465</v>
      </c>
      <c r="BX11" s="91">
        <v>45910</v>
      </c>
      <c r="BY11" s="91">
        <v>45459</v>
      </c>
      <c r="BZ11" s="91">
        <v>45474</v>
      </c>
      <c r="CA11" s="91">
        <v>45480</v>
      </c>
      <c r="CB11" s="91" t="s">
        <v>232</v>
      </c>
      <c r="CC11" s="91">
        <v>45480</v>
      </c>
      <c r="CD11" s="91">
        <v>45476</v>
      </c>
      <c r="CE11" s="91">
        <v>45483</v>
      </c>
      <c r="CF11" s="91">
        <v>45524</v>
      </c>
      <c r="CG11" s="91">
        <v>45532</v>
      </c>
      <c r="CH11" s="91">
        <v>45540</v>
      </c>
      <c r="CI11" s="91">
        <v>45548</v>
      </c>
      <c r="CJ11" s="91">
        <v>45559</v>
      </c>
      <c r="CK11" s="91" t="s">
        <v>232</v>
      </c>
      <c r="CL11" s="11" t="s">
        <v>232</v>
      </c>
      <c r="CM11" s="91">
        <v>45609</v>
      </c>
      <c r="CN11" s="91">
        <v>45639</v>
      </c>
      <c r="CO11" s="91">
        <v>45699</v>
      </c>
      <c r="CP11" s="91" t="s">
        <v>232</v>
      </c>
      <c r="CQ11" s="10">
        <v>45757</v>
      </c>
      <c r="CR11" s="10" t="s">
        <v>232</v>
      </c>
      <c r="CS11" s="10" t="s">
        <v>232</v>
      </c>
      <c r="CT11" s="10" t="s">
        <v>232</v>
      </c>
      <c r="CU11" s="10">
        <v>45931</v>
      </c>
      <c r="CV11" s="11" t="s">
        <v>232</v>
      </c>
      <c r="CW11" s="10">
        <v>45904</v>
      </c>
      <c r="CX11" s="10">
        <v>45953</v>
      </c>
      <c r="CY11" s="11"/>
    </row>
    <row r="12" spans="1:103" ht="50.25" customHeight="1">
      <c r="B12" s="462">
        <v>8</v>
      </c>
      <c r="C12" s="463" t="s">
        <v>258</v>
      </c>
      <c r="D12" s="377" t="s">
        <v>259</v>
      </c>
      <c r="E12" s="377" t="s">
        <v>260</v>
      </c>
      <c r="F12" s="377" t="s">
        <v>253</v>
      </c>
      <c r="G12" s="441" t="s">
        <v>232</v>
      </c>
      <c r="H12" s="319">
        <v>45393</v>
      </c>
      <c r="I12" s="91">
        <f t="shared" si="0"/>
        <v>46122</v>
      </c>
      <c r="J12" s="91">
        <v>46028</v>
      </c>
      <c r="K12" s="91">
        <f t="shared" si="1"/>
        <v>46757</v>
      </c>
      <c r="L12" s="319">
        <v>46058</v>
      </c>
      <c r="M12" s="91">
        <f t="shared" si="2"/>
        <v>46787</v>
      </c>
      <c r="N12" s="91">
        <v>45426</v>
      </c>
      <c r="O12" s="91">
        <f t="shared" si="17"/>
        <v>46155</v>
      </c>
      <c r="P12" s="91">
        <v>45426</v>
      </c>
      <c r="Q12" s="91">
        <f t="shared" si="18"/>
        <v>46155</v>
      </c>
      <c r="R12" s="91">
        <v>45433</v>
      </c>
      <c r="S12" s="91">
        <f t="shared" si="13"/>
        <v>46162</v>
      </c>
      <c r="T12" s="91">
        <v>45611</v>
      </c>
      <c r="U12" s="91">
        <f t="shared" si="14"/>
        <v>46340</v>
      </c>
      <c r="V12" s="91">
        <v>45695</v>
      </c>
      <c r="W12" s="91">
        <f t="shared" si="15"/>
        <v>46424</v>
      </c>
      <c r="X12" s="91">
        <v>45685</v>
      </c>
      <c r="Y12" s="91">
        <f t="shared" ref="Y12:Y19" si="19">IF(ISBLANK(X12),"",EDATE(X12,24))-1</f>
        <v>46414</v>
      </c>
      <c r="Z12" s="319">
        <v>45779</v>
      </c>
      <c r="AA12" s="91">
        <f>IF(ISBLANK(Z12),"",EDATE(Z12,24))-1</f>
        <v>46508</v>
      </c>
      <c r="AB12" s="317" t="s">
        <v>232</v>
      </c>
      <c r="AC12" s="317" t="s">
        <v>232</v>
      </c>
      <c r="AD12" s="319">
        <v>45795</v>
      </c>
      <c r="AE12" s="91">
        <f t="shared" si="16"/>
        <v>46524</v>
      </c>
      <c r="AF12" s="387">
        <v>46065</v>
      </c>
      <c r="AG12" s="91">
        <f t="shared" si="3"/>
        <v>46794</v>
      </c>
      <c r="AH12" s="91">
        <v>46056</v>
      </c>
      <c r="AI12" s="91">
        <f t="shared" si="4"/>
        <v>46785</v>
      </c>
      <c r="AJ12" s="91">
        <v>46063</v>
      </c>
      <c r="AK12" s="91">
        <f t="shared" si="5"/>
        <v>46792</v>
      </c>
      <c r="AL12" s="91">
        <v>46069</v>
      </c>
      <c r="AM12" s="91">
        <f>IF(ISBLANK(AL12),"",EDATE(AL12,24))</f>
        <v>46799</v>
      </c>
      <c r="AN12" s="91">
        <v>45708</v>
      </c>
      <c r="AO12" s="91">
        <f t="shared" si="6"/>
        <v>46437</v>
      </c>
      <c r="AP12" s="91">
        <v>45709</v>
      </c>
      <c r="AQ12" s="91">
        <f t="shared" si="7"/>
        <v>46438</v>
      </c>
      <c r="AR12" s="91">
        <v>45784</v>
      </c>
      <c r="AS12" s="91">
        <f t="shared" si="8"/>
        <v>46513</v>
      </c>
      <c r="AT12" s="317" t="s">
        <v>232</v>
      </c>
      <c r="AU12" s="317" t="s">
        <v>232</v>
      </c>
      <c r="AV12" s="317" t="s">
        <v>232</v>
      </c>
      <c r="AW12" s="91" t="e">
        <f t="shared" si="9"/>
        <v>#VALUE!</v>
      </c>
      <c r="AX12" s="317" t="s">
        <v>232</v>
      </c>
      <c r="AY12" s="91" t="e">
        <f t="shared" si="11"/>
        <v>#VALUE!</v>
      </c>
      <c r="AZ12" s="317" t="s">
        <v>232</v>
      </c>
      <c r="BA12" s="91" t="e">
        <f t="shared" si="12"/>
        <v>#VALUE!</v>
      </c>
      <c r="BB12" s="317" t="s">
        <v>232</v>
      </c>
      <c r="BC12" s="317" t="s">
        <v>232</v>
      </c>
      <c r="BD12" s="317" t="s">
        <v>232</v>
      </c>
      <c r="BE12" s="317" t="s">
        <v>232</v>
      </c>
      <c r="BF12" s="317" t="s">
        <v>232</v>
      </c>
      <c r="BG12" s="317" t="s">
        <v>232</v>
      </c>
      <c r="BH12" s="317" t="s">
        <v>232</v>
      </c>
      <c r="BI12" s="317" t="s">
        <v>232</v>
      </c>
      <c r="BJ12" s="317" t="s">
        <v>232</v>
      </c>
      <c r="BK12" s="317" t="s">
        <v>232</v>
      </c>
      <c r="BL12" s="91">
        <v>45793</v>
      </c>
      <c r="BM12" s="91">
        <f t="shared" si="10"/>
        <v>46522</v>
      </c>
      <c r="BN12" s="317" t="s">
        <v>232</v>
      </c>
      <c r="BO12" s="317" t="s">
        <v>232</v>
      </c>
      <c r="BP12" s="317" t="s">
        <v>232</v>
      </c>
      <c r="BQ12" s="317" t="s">
        <v>232</v>
      </c>
      <c r="BR12" s="317" t="s">
        <v>232</v>
      </c>
      <c r="BS12" s="317" t="s">
        <v>232</v>
      </c>
      <c r="BT12" s="317" t="s">
        <v>232</v>
      </c>
      <c r="BU12" s="91">
        <v>45392</v>
      </c>
      <c r="BV12" s="91">
        <v>45477</v>
      </c>
      <c r="BW12" s="91">
        <v>45391</v>
      </c>
      <c r="BX12" s="91">
        <v>45399</v>
      </c>
      <c r="BY12" s="91">
        <v>45402</v>
      </c>
      <c r="BZ12" s="91">
        <v>45474</v>
      </c>
      <c r="CA12" s="91">
        <v>45480</v>
      </c>
      <c r="CB12" s="91" t="s">
        <v>232</v>
      </c>
      <c r="CC12" s="91">
        <v>45480</v>
      </c>
      <c r="CD12" s="91">
        <v>45476</v>
      </c>
      <c r="CE12" s="91">
        <v>45483</v>
      </c>
      <c r="CF12" s="91">
        <v>45526</v>
      </c>
      <c r="CG12" s="91">
        <v>45532</v>
      </c>
      <c r="CH12" s="91">
        <v>45540</v>
      </c>
      <c r="CI12" s="91">
        <v>45548</v>
      </c>
      <c r="CJ12" s="91">
        <v>45559</v>
      </c>
      <c r="CK12" s="91" t="s">
        <v>232</v>
      </c>
      <c r="CL12" s="11" t="s">
        <v>232</v>
      </c>
      <c r="CM12" s="91" t="s">
        <v>232</v>
      </c>
      <c r="CN12" s="91">
        <v>45639</v>
      </c>
      <c r="CO12" s="91">
        <v>45699</v>
      </c>
      <c r="CP12" s="91" t="s">
        <v>232</v>
      </c>
      <c r="CQ12" s="10">
        <v>45746</v>
      </c>
      <c r="CR12" s="10" t="s">
        <v>232</v>
      </c>
      <c r="CS12" s="10" t="s">
        <v>232</v>
      </c>
      <c r="CT12" s="10" t="s">
        <v>232</v>
      </c>
      <c r="CU12" s="11" t="s">
        <v>232</v>
      </c>
      <c r="CV12" s="11" t="s">
        <v>232</v>
      </c>
      <c r="CW12" s="11" t="s">
        <v>232</v>
      </c>
      <c r="CX12" s="11"/>
      <c r="CY12" s="11"/>
    </row>
    <row r="13" spans="1:103" ht="50.25" customHeight="1">
      <c r="B13" s="462">
        <v>9</v>
      </c>
      <c r="C13" s="463" t="s">
        <v>261</v>
      </c>
      <c r="D13" s="377" t="s">
        <v>262</v>
      </c>
      <c r="E13" s="377" t="s">
        <v>263</v>
      </c>
      <c r="F13" s="377" t="s">
        <v>253</v>
      </c>
      <c r="G13" s="441" t="s">
        <v>232</v>
      </c>
      <c r="H13" s="319">
        <v>46062</v>
      </c>
      <c r="I13" s="91">
        <f t="shared" si="0"/>
        <v>46791</v>
      </c>
      <c r="J13" s="91">
        <v>46028</v>
      </c>
      <c r="K13" s="91">
        <f t="shared" si="1"/>
        <v>46757</v>
      </c>
      <c r="L13" s="319">
        <v>46058</v>
      </c>
      <c r="M13" s="91">
        <f t="shared" si="2"/>
        <v>46787</v>
      </c>
      <c r="N13" s="91">
        <v>45426</v>
      </c>
      <c r="O13" s="91">
        <f t="shared" si="17"/>
        <v>46155</v>
      </c>
      <c r="P13" s="91">
        <v>45426</v>
      </c>
      <c r="Q13" s="91">
        <f t="shared" si="18"/>
        <v>46155</v>
      </c>
      <c r="R13" s="91">
        <v>45433</v>
      </c>
      <c r="S13" s="91">
        <f t="shared" si="13"/>
        <v>46162</v>
      </c>
      <c r="T13" s="91">
        <v>45611</v>
      </c>
      <c r="U13" s="91">
        <f t="shared" si="14"/>
        <v>46340</v>
      </c>
      <c r="V13" s="91">
        <v>45695</v>
      </c>
      <c r="W13" s="91">
        <f t="shared" si="15"/>
        <v>46424</v>
      </c>
      <c r="X13" s="91">
        <v>45685</v>
      </c>
      <c r="Y13" s="91">
        <f t="shared" si="19"/>
        <v>46414</v>
      </c>
      <c r="Z13" s="317" t="s">
        <v>232</v>
      </c>
      <c r="AA13" s="317" t="s">
        <v>232</v>
      </c>
      <c r="AB13" s="317" t="s">
        <v>232</v>
      </c>
      <c r="AC13" s="317" t="s">
        <v>232</v>
      </c>
      <c r="AD13" s="319">
        <v>45795</v>
      </c>
      <c r="AE13" s="91">
        <f t="shared" si="16"/>
        <v>46524</v>
      </c>
      <c r="AF13" s="387">
        <v>46065</v>
      </c>
      <c r="AG13" s="91">
        <f t="shared" si="3"/>
        <v>46794</v>
      </c>
      <c r="AH13" s="91">
        <v>46056</v>
      </c>
      <c r="AI13" s="91">
        <f t="shared" si="4"/>
        <v>46785</v>
      </c>
      <c r="AJ13" s="91">
        <v>45401</v>
      </c>
      <c r="AK13" s="91">
        <f t="shared" si="5"/>
        <v>46130</v>
      </c>
      <c r="AL13" s="91">
        <v>46069</v>
      </c>
      <c r="AM13" s="91">
        <f>IF(ISBLANK(AL13),"",EDATE(AL13,24))</f>
        <v>46799</v>
      </c>
      <c r="AN13" s="91">
        <v>45708</v>
      </c>
      <c r="AO13" s="91">
        <f t="shared" si="6"/>
        <v>46437</v>
      </c>
      <c r="AP13" s="91">
        <v>45709</v>
      </c>
      <c r="AQ13" s="91">
        <f t="shared" si="7"/>
        <v>46438</v>
      </c>
      <c r="AR13" s="91">
        <v>45784</v>
      </c>
      <c r="AS13" s="91">
        <f t="shared" si="8"/>
        <v>46513</v>
      </c>
      <c r="AT13" s="317" t="s">
        <v>232</v>
      </c>
      <c r="AU13" s="317" t="s">
        <v>232</v>
      </c>
      <c r="AV13" s="317" t="s">
        <v>232</v>
      </c>
      <c r="AW13" s="91" t="e">
        <f t="shared" si="9"/>
        <v>#VALUE!</v>
      </c>
      <c r="AX13" s="317" t="s">
        <v>232</v>
      </c>
      <c r="AY13" s="91" t="e">
        <f t="shared" si="11"/>
        <v>#VALUE!</v>
      </c>
      <c r="AZ13" s="317" t="s">
        <v>232</v>
      </c>
      <c r="BA13" s="91" t="e">
        <f t="shared" si="12"/>
        <v>#VALUE!</v>
      </c>
      <c r="BB13" s="317" t="s">
        <v>232</v>
      </c>
      <c r="BC13" s="317" t="s">
        <v>232</v>
      </c>
      <c r="BD13" s="317" t="s">
        <v>232</v>
      </c>
      <c r="BE13" s="317" t="s">
        <v>232</v>
      </c>
      <c r="BF13" s="317" t="s">
        <v>232</v>
      </c>
      <c r="BG13" s="317" t="s">
        <v>232</v>
      </c>
      <c r="BH13" s="317" t="s">
        <v>232</v>
      </c>
      <c r="BI13" s="317" t="s">
        <v>232</v>
      </c>
      <c r="BJ13" s="317" t="s">
        <v>232</v>
      </c>
      <c r="BK13" s="317" t="s">
        <v>232</v>
      </c>
      <c r="BL13" s="91">
        <v>45456</v>
      </c>
      <c r="BM13" s="91">
        <f t="shared" si="10"/>
        <v>46185</v>
      </c>
      <c r="BN13" s="317" t="s">
        <v>232</v>
      </c>
      <c r="BO13" s="317" t="s">
        <v>232</v>
      </c>
      <c r="BP13" s="317" t="s">
        <v>232</v>
      </c>
      <c r="BQ13" s="317" t="s">
        <v>232</v>
      </c>
      <c r="BR13" s="317" t="s">
        <v>232</v>
      </c>
      <c r="BS13" s="317" t="s">
        <v>232</v>
      </c>
      <c r="BT13" s="317" t="s">
        <v>232</v>
      </c>
      <c r="BU13" s="91">
        <v>45392</v>
      </c>
      <c r="BV13" s="91">
        <v>45477</v>
      </c>
      <c r="BW13" s="91">
        <v>45391</v>
      </c>
      <c r="BX13" s="91">
        <v>45399</v>
      </c>
      <c r="BY13" s="91">
        <v>45402</v>
      </c>
      <c r="BZ13" s="91">
        <v>45474</v>
      </c>
      <c r="CA13" s="91">
        <v>45480</v>
      </c>
      <c r="CB13" s="91" t="s">
        <v>232</v>
      </c>
      <c r="CC13" s="91">
        <v>45480</v>
      </c>
      <c r="CD13" s="91">
        <v>45476</v>
      </c>
      <c r="CE13" s="91">
        <v>45483</v>
      </c>
      <c r="CF13" s="91">
        <v>45526</v>
      </c>
      <c r="CG13" s="91">
        <v>45532</v>
      </c>
      <c r="CH13" s="91">
        <v>45540</v>
      </c>
      <c r="CI13" s="91">
        <v>45548</v>
      </c>
      <c r="CJ13" s="91">
        <v>45559</v>
      </c>
      <c r="CK13" s="91" t="s">
        <v>232</v>
      </c>
      <c r="CL13" s="11" t="s">
        <v>232</v>
      </c>
      <c r="CM13" s="91" t="s">
        <v>232</v>
      </c>
      <c r="CN13" s="91">
        <v>45639</v>
      </c>
      <c r="CO13" s="91">
        <v>45699</v>
      </c>
      <c r="CP13" s="91" t="s">
        <v>232</v>
      </c>
      <c r="CQ13" s="10">
        <v>45743</v>
      </c>
      <c r="CR13" s="10" t="s">
        <v>232</v>
      </c>
      <c r="CS13" s="10" t="s">
        <v>232</v>
      </c>
      <c r="CT13" s="10" t="s">
        <v>232</v>
      </c>
      <c r="CU13" s="11">
        <v>46070</v>
      </c>
      <c r="CV13" s="11" t="s">
        <v>232</v>
      </c>
      <c r="CW13" s="11" t="s">
        <v>232</v>
      </c>
      <c r="CX13" s="11"/>
      <c r="CY13" s="11"/>
    </row>
    <row r="14" spans="1:103" s="89" customFormat="1" ht="50.25" customHeight="1">
      <c r="B14" s="462">
        <v>10</v>
      </c>
      <c r="C14" s="463" t="s">
        <v>264</v>
      </c>
      <c r="D14" s="377" t="s">
        <v>265</v>
      </c>
      <c r="E14" s="377" t="s">
        <v>266</v>
      </c>
      <c r="F14" s="377" t="s">
        <v>267</v>
      </c>
      <c r="G14" s="439" t="s">
        <v>268</v>
      </c>
      <c r="H14" s="319">
        <v>46062</v>
      </c>
      <c r="I14" s="91">
        <f t="shared" si="0"/>
        <v>46791</v>
      </c>
      <c r="J14" s="91">
        <v>46028</v>
      </c>
      <c r="K14" s="91">
        <f t="shared" si="1"/>
        <v>46757</v>
      </c>
      <c r="L14" s="319">
        <v>46058</v>
      </c>
      <c r="M14" s="91">
        <f t="shared" si="2"/>
        <v>46787</v>
      </c>
      <c r="N14" s="91">
        <v>45426</v>
      </c>
      <c r="O14" s="91">
        <f t="shared" si="17"/>
        <v>46155</v>
      </c>
      <c r="P14" s="91">
        <v>45426</v>
      </c>
      <c r="Q14" s="91">
        <f t="shared" si="18"/>
        <v>46155</v>
      </c>
      <c r="R14" s="91">
        <v>45433</v>
      </c>
      <c r="S14" s="91">
        <f t="shared" si="13"/>
        <v>46162</v>
      </c>
      <c r="T14" s="91">
        <v>45611</v>
      </c>
      <c r="U14" s="91">
        <f t="shared" si="14"/>
        <v>46340</v>
      </c>
      <c r="V14" s="319">
        <v>45615</v>
      </c>
      <c r="W14" s="91">
        <f t="shared" si="15"/>
        <v>46344</v>
      </c>
      <c r="X14" s="319">
        <v>45604</v>
      </c>
      <c r="Y14" s="91">
        <f t="shared" si="19"/>
        <v>46333</v>
      </c>
      <c r="Z14" s="317" t="s">
        <v>232</v>
      </c>
      <c r="AA14" s="317" t="s">
        <v>232</v>
      </c>
      <c r="AB14" s="317" t="s">
        <v>232</v>
      </c>
      <c r="AC14" s="317" t="s">
        <v>232</v>
      </c>
      <c r="AD14" s="319">
        <v>45795</v>
      </c>
      <c r="AE14" s="91">
        <f t="shared" si="16"/>
        <v>46524</v>
      </c>
      <c r="AF14" s="387">
        <v>46065</v>
      </c>
      <c r="AG14" s="91">
        <f t="shared" si="3"/>
        <v>46794</v>
      </c>
      <c r="AH14" s="91">
        <v>46056</v>
      </c>
      <c r="AI14" s="91">
        <f t="shared" si="4"/>
        <v>46785</v>
      </c>
      <c r="AJ14" s="91">
        <v>46063</v>
      </c>
      <c r="AK14" s="91">
        <f t="shared" si="5"/>
        <v>46792</v>
      </c>
      <c r="AL14" s="91">
        <v>46069</v>
      </c>
      <c r="AM14" s="91">
        <f>IF(ISBLANK(AL14),"",EDATE(AL14,12))-1</f>
        <v>46433</v>
      </c>
      <c r="AN14" s="91">
        <v>45708</v>
      </c>
      <c r="AO14" s="91">
        <f t="shared" si="6"/>
        <v>46437</v>
      </c>
      <c r="AP14" s="91">
        <v>45709</v>
      </c>
      <c r="AQ14" s="91">
        <f t="shared" si="7"/>
        <v>46438</v>
      </c>
      <c r="AR14" s="91">
        <v>45784</v>
      </c>
      <c r="AS14" s="91">
        <f t="shared" si="8"/>
        <v>46513</v>
      </c>
      <c r="AT14" s="91">
        <v>45782</v>
      </c>
      <c r="AU14" s="91">
        <f>IF(ISBLANK(AT14),"",EDATE(AT14,24))-1</f>
        <v>46511</v>
      </c>
      <c r="AV14" s="317" t="s">
        <v>232</v>
      </c>
      <c r="AW14" s="91" t="e">
        <f t="shared" si="9"/>
        <v>#VALUE!</v>
      </c>
      <c r="AX14" s="317" t="s">
        <v>232</v>
      </c>
      <c r="AY14" s="91" t="e">
        <f t="shared" si="11"/>
        <v>#VALUE!</v>
      </c>
      <c r="AZ14" s="317" t="s">
        <v>232</v>
      </c>
      <c r="BA14" s="91" t="e">
        <f t="shared" si="12"/>
        <v>#VALUE!</v>
      </c>
      <c r="BB14" s="317" t="s">
        <v>232</v>
      </c>
      <c r="BC14" s="317" t="s">
        <v>232</v>
      </c>
      <c r="BD14" s="317" t="s">
        <v>232</v>
      </c>
      <c r="BE14" s="317" t="s">
        <v>232</v>
      </c>
      <c r="BF14" s="317" t="s">
        <v>232</v>
      </c>
      <c r="BG14" s="317" t="s">
        <v>232</v>
      </c>
      <c r="BH14" s="317" t="s">
        <v>232</v>
      </c>
      <c r="BI14" s="317" t="s">
        <v>232</v>
      </c>
      <c r="BJ14" s="317" t="s">
        <v>232</v>
      </c>
      <c r="BK14" s="317" t="s">
        <v>232</v>
      </c>
      <c r="BL14" s="91">
        <v>45456</v>
      </c>
      <c r="BM14" s="91">
        <f t="shared" si="10"/>
        <v>46185</v>
      </c>
      <c r="BN14" s="317" t="s">
        <v>232</v>
      </c>
      <c r="BO14" s="317" t="s">
        <v>232</v>
      </c>
      <c r="BP14" s="317" t="s">
        <v>232</v>
      </c>
      <c r="BQ14" s="317" t="s">
        <v>232</v>
      </c>
      <c r="BR14" s="317" t="s">
        <v>232</v>
      </c>
      <c r="BS14" s="91">
        <v>42587</v>
      </c>
      <c r="BT14" s="317" t="s">
        <v>232</v>
      </c>
      <c r="BU14" s="91">
        <v>45392</v>
      </c>
      <c r="BV14" s="91">
        <v>45477</v>
      </c>
      <c r="BW14" s="91">
        <v>45391</v>
      </c>
      <c r="BX14" s="91">
        <v>45399</v>
      </c>
      <c r="BY14" s="91">
        <v>45402</v>
      </c>
      <c r="BZ14" s="91">
        <v>45474</v>
      </c>
      <c r="CA14" s="91">
        <v>45480</v>
      </c>
      <c r="CB14" s="91" t="s">
        <v>232</v>
      </c>
      <c r="CC14" s="91">
        <v>45480</v>
      </c>
      <c r="CD14" s="91">
        <v>45476</v>
      </c>
      <c r="CE14" s="91">
        <v>45483</v>
      </c>
      <c r="CF14" s="91">
        <v>45524</v>
      </c>
      <c r="CG14" s="91">
        <v>45532</v>
      </c>
      <c r="CH14" s="91">
        <v>45540</v>
      </c>
      <c r="CI14" s="91">
        <v>45548</v>
      </c>
      <c r="CJ14" s="91">
        <v>45559</v>
      </c>
      <c r="CK14" s="91" t="s">
        <v>232</v>
      </c>
      <c r="CL14" s="11" t="s">
        <v>232</v>
      </c>
      <c r="CM14" s="91" t="s">
        <v>232</v>
      </c>
      <c r="CN14" s="91">
        <v>45639</v>
      </c>
      <c r="CO14" s="91">
        <v>45700</v>
      </c>
      <c r="CP14" s="91" t="s">
        <v>232</v>
      </c>
      <c r="CQ14" s="10">
        <v>45746</v>
      </c>
      <c r="CR14" s="10" t="s">
        <v>232</v>
      </c>
      <c r="CS14" s="10" t="s">
        <v>232</v>
      </c>
      <c r="CT14" s="10" t="s">
        <v>232</v>
      </c>
      <c r="CU14" s="11" t="s">
        <v>232</v>
      </c>
      <c r="CV14" s="11" t="s">
        <v>232</v>
      </c>
      <c r="CW14" s="11" t="s">
        <v>232</v>
      </c>
      <c r="CX14" s="11"/>
      <c r="CY14" s="11"/>
    </row>
    <row r="15" spans="1:103" ht="50.25" customHeight="1">
      <c r="B15" s="462">
        <v>11</v>
      </c>
      <c r="C15" s="463" t="s">
        <v>269</v>
      </c>
      <c r="D15" s="377" t="s">
        <v>270</v>
      </c>
      <c r="E15" s="377" t="s">
        <v>271</v>
      </c>
      <c r="F15" s="377" t="s">
        <v>253</v>
      </c>
      <c r="G15" s="441" t="s">
        <v>232</v>
      </c>
      <c r="H15" s="319">
        <v>46062</v>
      </c>
      <c r="I15" s="91">
        <f t="shared" si="0"/>
        <v>46791</v>
      </c>
      <c r="J15" s="91">
        <v>46028</v>
      </c>
      <c r="K15" s="91">
        <f t="shared" si="1"/>
        <v>46757</v>
      </c>
      <c r="L15" s="319">
        <v>46058</v>
      </c>
      <c r="M15" s="91">
        <f t="shared" si="2"/>
        <v>46787</v>
      </c>
      <c r="N15" s="91">
        <v>45426</v>
      </c>
      <c r="O15" s="91">
        <f t="shared" si="17"/>
        <v>46155</v>
      </c>
      <c r="P15" s="91">
        <v>45426</v>
      </c>
      <c r="Q15" s="91">
        <f t="shared" si="18"/>
        <v>46155</v>
      </c>
      <c r="R15" s="91">
        <v>45433</v>
      </c>
      <c r="S15" s="91">
        <f t="shared" si="13"/>
        <v>46162</v>
      </c>
      <c r="T15" s="317">
        <v>45825</v>
      </c>
      <c r="U15" s="91">
        <f t="shared" si="14"/>
        <v>46554</v>
      </c>
      <c r="V15" s="319">
        <v>45615</v>
      </c>
      <c r="W15" s="91">
        <f t="shared" si="15"/>
        <v>46344</v>
      </c>
      <c r="X15" s="319">
        <v>45604</v>
      </c>
      <c r="Y15" s="91">
        <f t="shared" si="19"/>
        <v>46333</v>
      </c>
      <c r="Z15" s="317" t="s">
        <v>232</v>
      </c>
      <c r="AA15" s="317" t="s">
        <v>232</v>
      </c>
      <c r="AB15" s="317" t="s">
        <v>232</v>
      </c>
      <c r="AC15" s="317" t="s">
        <v>232</v>
      </c>
      <c r="AD15" s="319">
        <v>45795</v>
      </c>
      <c r="AE15" s="91">
        <f t="shared" si="16"/>
        <v>46524</v>
      </c>
      <c r="AF15" s="387">
        <v>46065</v>
      </c>
      <c r="AG15" s="91">
        <f t="shared" si="3"/>
        <v>46794</v>
      </c>
      <c r="AH15" s="91">
        <v>46056</v>
      </c>
      <c r="AI15" s="91">
        <f t="shared" si="4"/>
        <v>46785</v>
      </c>
      <c r="AJ15" s="91">
        <v>46063</v>
      </c>
      <c r="AK15" s="91">
        <f t="shared" si="5"/>
        <v>46792</v>
      </c>
      <c r="AL15" s="91">
        <v>46069</v>
      </c>
      <c r="AM15" s="91">
        <f>IF(ISBLANK(AL15),"",EDATE(AL15,12))-1</f>
        <v>46433</v>
      </c>
      <c r="AN15" s="91">
        <v>45708</v>
      </c>
      <c r="AO15" s="91">
        <f t="shared" si="6"/>
        <v>46437</v>
      </c>
      <c r="AP15" s="91">
        <v>45709</v>
      </c>
      <c r="AQ15" s="91">
        <f t="shared" si="7"/>
        <v>46438</v>
      </c>
      <c r="AR15" s="91">
        <v>45784</v>
      </c>
      <c r="AS15" s="91">
        <f t="shared" si="8"/>
        <v>46513</v>
      </c>
      <c r="AT15" s="317" t="s">
        <v>232</v>
      </c>
      <c r="AU15" s="317" t="s">
        <v>232</v>
      </c>
      <c r="AV15" s="317" t="s">
        <v>232</v>
      </c>
      <c r="AW15" s="91" t="e">
        <f t="shared" si="9"/>
        <v>#VALUE!</v>
      </c>
      <c r="AX15" s="317" t="s">
        <v>232</v>
      </c>
      <c r="AY15" s="91" t="e">
        <f t="shared" si="11"/>
        <v>#VALUE!</v>
      </c>
      <c r="AZ15" s="317" t="s">
        <v>232</v>
      </c>
      <c r="BA15" s="91" t="e">
        <f t="shared" si="12"/>
        <v>#VALUE!</v>
      </c>
      <c r="BB15" s="317" t="s">
        <v>232</v>
      </c>
      <c r="BC15" s="317" t="s">
        <v>232</v>
      </c>
      <c r="BD15" s="317" t="s">
        <v>232</v>
      </c>
      <c r="BE15" s="317" t="s">
        <v>232</v>
      </c>
      <c r="BF15" s="317" t="s">
        <v>232</v>
      </c>
      <c r="BG15" s="317" t="s">
        <v>232</v>
      </c>
      <c r="BH15" s="317" t="s">
        <v>232</v>
      </c>
      <c r="BI15" s="317" t="s">
        <v>232</v>
      </c>
      <c r="BJ15" s="317" t="s">
        <v>232</v>
      </c>
      <c r="BK15" s="317" t="s">
        <v>232</v>
      </c>
      <c r="BL15" s="91">
        <v>45456</v>
      </c>
      <c r="BM15" s="91">
        <f t="shared" si="10"/>
        <v>46185</v>
      </c>
      <c r="BN15" s="317" t="s">
        <v>232</v>
      </c>
      <c r="BO15" s="317" t="s">
        <v>232</v>
      </c>
      <c r="BP15" s="317" t="s">
        <v>232</v>
      </c>
      <c r="BQ15" s="317" t="s">
        <v>232</v>
      </c>
      <c r="BR15" s="317" t="s">
        <v>232</v>
      </c>
      <c r="BS15" s="317" t="s">
        <v>232</v>
      </c>
      <c r="BT15" s="317" t="s">
        <v>232</v>
      </c>
      <c r="BU15" s="91">
        <v>45392</v>
      </c>
      <c r="BV15" s="91">
        <v>45477</v>
      </c>
      <c r="BW15" s="91">
        <v>45391</v>
      </c>
      <c r="BX15" s="91">
        <v>45399</v>
      </c>
      <c r="BY15" s="91">
        <v>45402</v>
      </c>
      <c r="BZ15" s="91">
        <v>45474</v>
      </c>
      <c r="CA15" s="91">
        <v>45480</v>
      </c>
      <c r="CB15" s="91" t="s">
        <v>232</v>
      </c>
      <c r="CC15" s="91">
        <v>45480</v>
      </c>
      <c r="CD15" s="91">
        <v>45476</v>
      </c>
      <c r="CE15" s="91">
        <v>45483</v>
      </c>
      <c r="CF15" s="91">
        <v>45526</v>
      </c>
      <c r="CG15" s="91">
        <v>45532</v>
      </c>
      <c r="CH15" s="91">
        <v>45540</v>
      </c>
      <c r="CI15" s="91">
        <v>45551</v>
      </c>
      <c r="CJ15" s="91">
        <v>45559</v>
      </c>
      <c r="CK15" s="91" t="s">
        <v>232</v>
      </c>
      <c r="CL15" s="11" t="s">
        <v>232</v>
      </c>
      <c r="CM15" s="91" t="s">
        <v>232</v>
      </c>
      <c r="CN15" s="91">
        <v>45639</v>
      </c>
      <c r="CO15" s="91">
        <v>45700</v>
      </c>
      <c r="CP15" s="91" t="s">
        <v>232</v>
      </c>
      <c r="CQ15" s="10">
        <v>45746</v>
      </c>
      <c r="CR15" s="10" t="s">
        <v>232</v>
      </c>
      <c r="CS15" s="10" t="s">
        <v>232</v>
      </c>
      <c r="CT15" s="10" t="s">
        <v>232</v>
      </c>
      <c r="CU15" s="11" t="s">
        <v>232</v>
      </c>
      <c r="CV15" s="11" t="s">
        <v>232</v>
      </c>
      <c r="CW15" s="11" t="s">
        <v>232</v>
      </c>
      <c r="CX15" s="11"/>
      <c r="CY15" s="11"/>
    </row>
    <row r="16" spans="1:103" ht="50.25" customHeight="1">
      <c r="B16" s="462">
        <v>12</v>
      </c>
      <c r="C16" s="464" t="s">
        <v>75</v>
      </c>
      <c r="D16" s="377" t="s">
        <v>76</v>
      </c>
      <c r="E16" s="377" t="s">
        <v>272</v>
      </c>
      <c r="F16" s="377" t="s">
        <v>273</v>
      </c>
      <c r="G16" s="440" t="s">
        <v>232</v>
      </c>
      <c r="H16" s="319">
        <v>45450</v>
      </c>
      <c r="I16" s="91">
        <f t="shared" si="0"/>
        <v>46179</v>
      </c>
      <c r="J16" s="91">
        <v>46028</v>
      </c>
      <c r="K16" s="91">
        <f t="shared" si="1"/>
        <v>46757</v>
      </c>
      <c r="L16" s="319">
        <v>45481</v>
      </c>
      <c r="M16" s="91">
        <f t="shared" si="2"/>
        <v>46210</v>
      </c>
      <c r="N16" s="91">
        <v>45426</v>
      </c>
      <c r="O16" s="91">
        <f t="shared" si="17"/>
        <v>46155</v>
      </c>
      <c r="P16" s="91">
        <v>45426</v>
      </c>
      <c r="Q16" s="91">
        <f t="shared" si="18"/>
        <v>46155</v>
      </c>
      <c r="R16" s="91">
        <v>45433</v>
      </c>
      <c r="S16" s="91">
        <f t="shared" si="13"/>
        <v>46162</v>
      </c>
      <c r="T16" s="91">
        <v>45611</v>
      </c>
      <c r="U16" s="91">
        <f t="shared" si="14"/>
        <v>46340</v>
      </c>
      <c r="V16" s="319">
        <v>45615</v>
      </c>
      <c r="W16" s="91">
        <f t="shared" si="15"/>
        <v>46344</v>
      </c>
      <c r="X16" s="319">
        <v>45604</v>
      </c>
      <c r="Y16" s="91">
        <f t="shared" si="19"/>
        <v>46333</v>
      </c>
      <c r="Z16" s="319">
        <v>45779</v>
      </c>
      <c r="AA16" s="91">
        <f>IF(ISBLANK(Z16),"",EDATE(Z16,24))-1</f>
        <v>46508</v>
      </c>
      <c r="AB16" s="319">
        <v>45819</v>
      </c>
      <c r="AC16" s="91">
        <f>IF(ISBLANK(AB16),"",EDATE(AB16,24))</f>
        <v>46549</v>
      </c>
      <c r="AD16" s="319">
        <v>45795</v>
      </c>
      <c r="AE16" s="91">
        <f t="shared" si="16"/>
        <v>46524</v>
      </c>
      <c r="AF16" s="319">
        <v>45428</v>
      </c>
      <c r="AG16" s="91">
        <f t="shared" si="3"/>
        <v>46157</v>
      </c>
      <c r="AH16" s="91">
        <v>45460</v>
      </c>
      <c r="AI16" s="91">
        <f t="shared" si="4"/>
        <v>46189</v>
      </c>
      <c r="AJ16" s="91">
        <v>45462</v>
      </c>
      <c r="AK16" s="91">
        <f t="shared" si="5"/>
        <v>46191</v>
      </c>
      <c r="AL16" s="319">
        <v>45468</v>
      </c>
      <c r="AM16" s="91">
        <f>IF(ISBLANK(AL16),"",EDATE(AL16,24))-1</f>
        <v>46197</v>
      </c>
      <c r="AN16" s="91">
        <v>46032</v>
      </c>
      <c r="AO16" s="91">
        <f t="shared" si="6"/>
        <v>46761</v>
      </c>
      <c r="AP16" s="91">
        <v>45710</v>
      </c>
      <c r="AQ16" s="91">
        <f t="shared" si="7"/>
        <v>46439</v>
      </c>
      <c r="AR16" s="91">
        <v>45784</v>
      </c>
      <c r="AS16" s="91">
        <f t="shared" si="8"/>
        <v>46513</v>
      </c>
      <c r="AT16" s="317" t="s">
        <v>232</v>
      </c>
      <c r="AU16" s="317" t="s">
        <v>232</v>
      </c>
      <c r="AV16" s="317" t="s">
        <v>232</v>
      </c>
      <c r="AW16" s="91" t="e">
        <f t="shared" si="9"/>
        <v>#VALUE!</v>
      </c>
      <c r="AX16" s="317" t="s">
        <v>232</v>
      </c>
      <c r="AY16" s="91" t="e">
        <f t="shared" si="11"/>
        <v>#VALUE!</v>
      </c>
      <c r="AZ16" s="317" t="s">
        <v>232</v>
      </c>
      <c r="BA16" s="91" t="e">
        <f t="shared" si="12"/>
        <v>#VALUE!</v>
      </c>
      <c r="BB16" s="317" t="s">
        <v>232</v>
      </c>
      <c r="BC16" s="317" t="s">
        <v>232</v>
      </c>
      <c r="BD16" s="317" t="s">
        <v>232</v>
      </c>
      <c r="BE16" s="317" t="s">
        <v>232</v>
      </c>
      <c r="BF16" s="317" t="s">
        <v>232</v>
      </c>
      <c r="BG16" s="317" t="s">
        <v>232</v>
      </c>
      <c r="BH16" s="317" t="s">
        <v>232</v>
      </c>
      <c r="BI16" s="317" t="s">
        <v>232</v>
      </c>
      <c r="BJ16" s="317" t="s">
        <v>232</v>
      </c>
      <c r="BK16" s="317" t="s">
        <v>232</v>
      </c>
      <c r="BL16" s="91">
        <v>45456</v>
      </c>
      <c r="BM16" s="91">
        <f t="shared" si="10"/>
        <v>46185</v>
      </c>
      <c r="BN16" s="317" t="s">
        <v>232</v>
      </c>
      <c r="BO16" s="317" t="s">
        <v>232</v>
      </c>
      <c r="BP16" s="317" t="s">
        <v>232</v>
      </c>
      <c r="BQ16" s="319">
        <v>45233</v>
      </c>
      <c r="BR16" s="317" t="s">
        <v>232</v>
      </c>
      <c r="BS16" s="91">
        <v>43266</v>
      </c>
      <c r="BT16" s="317" t="s">
        <v>232</v>
      </c>
      <c r="BU16" s="91">
        <v>45466</v>
      </c>
      <c r="BV16" s="91">
        <v>45477</v>
      </c>
      <c r="BW16" s="91">
        <v>45465</v>
      </c>
      <c r="BX16" s="91">
        <v>45910</v>
      </c>
      <c r="BY16" s="91">
        <v>45459</v>
      </c>
      <c r="BZ16" s="91">
        <v>45474</v>
      </c>
      <c r="CA16" s="91">
        <v>45480</v>
      </c>
      <c r="CB16" s="91" t="s">
        <v>232</v>
      </c>
      <c r="CC16" s="91">
        <v>45480</v>
      </c>
      <c r="CD16" s="91">
        <v>45476</v>
      </c>
      <c r="CE16" s="91">
        <v>45483</v>
      </c>
      <c r="CF16" s="91">
        <v>45526</v>
      </c>
      <c r="CG16" s="91">
        <v>45532</v>
      </c>
      <c r="CH16" s="91">
        <v>45540</v>
      </c>
      <c r="CI16" s="91">
        <v>45548</v>
      </c>
      <c r="CJ16" s="91">
        <v>45559</v>
      </c>
      <c r="CK16" s="91" t="s">
        <v>232</v>
      </c>
      <c r="CL16" s="11" t="s">
        <v>232</v>
      </c>
      <c r="CM16" s="91">
        <v>45609</v>
      </c>
      <c r="CN16" s="91">
        <v>45639</v>
      </c>
      <c r="CO16" s="91">
        <v>45699</v>
      </c>
      <c r="CP16" s="91" t="s">
        <v>232</v>
      </c>
      <c r="CQ16" s="10">
        <v>45757</v>
      </c>
      <c r="CR16" s="10" t="s">
        <v>232</v>
      </c>
      <c r="CS16" s="10" t="s">
        <v>232</v>
      </c>
      <c r="CT16" s="10" t="s">
        <v>232</v>
      </c>
      <c r="CU16" s="11" t="s">
        <v>232</v>
      </c>
      <c r="CV16" s="11" t="s">
        <v>232</v>
      </c>
      <c r="CW16" s="10">
        <v>45914</v>
      </c>
      <c r="CX16" s="10">
        <v>45953</v>
      </c>
      <c r="CY16" s="11"/>
    </row>
    <row r="17" spans="2:103" ht="48.75" customHeight="1">
      <c r="B17" s="462">
        <v>13</v>
      </c>
      <c r="C17" s="464" t="s">
        <v>77</v>
      </c>
      <c r="D17" s="377" t="s">
        <v>78</v>
      </c>
      <c r="E17" s="377" t="s">
        <v>274</v>
      </c>
      <c r="F17" s="377" t="s">
        <v>229</v>
      </c>
      <c r="G17" s="439" t="s">
        <v>230</v>
      </c>
      <c r="H17" s="319">
        <v>45450</v>
      </c>
      <c r="I17" s="91">
        <f t="shared" si="0"/>
        <v>46179</v>
      </c>
      <c r="J17" s="319">
        <v>45457</v>
      </c>
      <c r="K17" s="91">
        <f t="shared" si="1"/>
        <v>46186</v>
      </c>
      <c r="L17" s="319">
        <v>45481</v>
      </c>
      <c r="M17" s="91">
        <f t="shared" si="2"/>
        <v>46210</v>
      </c>
      <c r="N17" s="91" t="s">
        <v>231</v>
      </c>
      <c r="O17" s="91" t="s">
        <v>231</v>
      </c>
      <c r="P17" s="91" t="s">
        <v>231</v>
      </c>
      <c r="Q17" s="91" t="s">
        <v>231</v>
      </c>
      <c r="R17" s="91">
        <v>45433</v>
      </c>
      <c r="S17" s="91">
        <f t="shared" si="13"/>
        <v>46162</v>
      </c>
      <c r="T17" s="91">
        <v>45611</v>
      </c>
      <c r="U17" s="91">
        <f t="shared" si="14"/>
        <v>46340</v>
      </c>
      <c r="V17" s="91">
        <v>45695</v>
      </c>
      <c r="W17" s="91">
        <f t="shared" si="15"/>
        <v>46424</v>
      </c>
      <c r="X17" s="91">
        <v>45685</v>
      </c>
      <c r="Y17" s="91">
        <f t="shared" si="19"/>
        <v>46414</v>
      </c>
      <c r="Z17" s="317" t="s">
        <v>232</v>
      </c>
      <c r="AA17" s="317" t="s">
        <v>232</v>
      </c>
      <c r="AB17" s="317" t="s">
        <v>232</v>
      </c>
      <c r="AC17" s="317" t="s">
        <v>232</v>
      </c>
      <c r="AD17" s="319">
        <v>45795</v>
      </c>
      <c r="AE17" s="91">
        <f t="shared" si="16"/>
        <v>46524</v>
      </c>
      <c r="AF17" s="319">
        <v>45447</v>
      </c>
      <c r="AG17" s="91">
        <f t="shared" si="3"/>
        <v>46176</v>
      </c>
      <c r="AH17" s="91">
        <v>45460</v>
      </c>
      <c r="AI17" s="91">
        <f t="shared" si="4"/>
        <v>46189</v>
      </c>
      <c r="AJ17" s="91">
        <v>45462</v>
      </c>
      <c r="AK17" s="91">
        <f t="shared" si="5"/>
        <v>46191</v>
      </c>
      <c r="AL17" s="319">
        <v>45748</v>
      </c>
      <c r="AM17" s="91">
        <f>IF(ISBLANK(AL17),"",EDATE(AL17,12))-1</f>
        <v>46112</v>
      </c>
      <c r="AN17" s="91">
        <v>46032</v>
      </c>
      <c r="AO17" s="91">
        <f t="shared" si="6"/>
        <v>46761</v>
      </c>
      <c r="AP17" s="91">
        <v>45709</v>
      </c>
      <c r="AQ17" s="91">
        <f t="shared" si="7"/>
        <v>46438</v>
      </c>
      <c r="AR17" s="91">
        <v>45784</v>
      </c>
      <c r="AS17" s="91">
        <f t="shared" si="8"/>
        <v>46513</v>
      </c>
      <c r="AT17" s="91">
        <v>45782</v>
      </c>
      <c r="AU17" s="91">
        <f>IF(ISBLANK(AT17),"",EDATE(AT17,24))-1</f>
        <v>46511</v>
      </c>
      <c r="AV17" s="91">
        <v>45782</v>
      </c>
      <c r="AW17" s="91">
        <f t="shared" si="9"/>
        <v>46511</v>
      </c>
      <c r="AX17" s="317" t="s">
        <v>232</v>
      </c>
      <c r="AY17" s="91" t="e">
        <f t="shared" si="11"/>
        <v>#VALUE!</v>
      </c>
      <c r="AZ17" s="317" t="s">
        <v>232</v>
      </c>
      <c r="BA17" s="91" t="e">
        <f t="shared" si="12"/>
        <v>#VALUE!</v>
      </c>
      <c r="BB17" s="317" t="s">
        <v>232</v>
      </c>
      <c r="BC17" s="317" t="s">
        <v>232</v>
      </c>
      <c r="BD17" s="317" t="s">
        <v>232</v>
      </c>
      <c r="BE17" s="317" t="s">
        <v>232</v>
      </c>
      <c r="BF17" s="317" t="s">
        <v>232</v>
      </c>
      <c r="BG17" s="317" t="s">
        <v>232</v>
      </c>
      <c r="BH17" s="317" t="s">
        <v>232</v>
      </c>
      <c r="BI17" s="317" t="s">
        <v>232</v>
      </c>
      <c r="BJ17" s="317" t="s">
        <v>232</v>
      </c>
      <c r="BK17" s="317" t="s">
        <v>232</v>
      </c>
      <c r="BL17" s="91">
        <v>45456</v>
      </c>
      <c r="BM17" s="91">
        <f t="shared" si="10"/>
        <v>46185</v>
      </c>
      <c r="BN17" s="317" t="s">
        <v>232</v>
      </c>
      <c r="BO17" s="317" t="s">
        <v>232</v>
      </c>
      <c r="BP17" s="317" t="s">
        <v>232</v>
      </c>
      <c r="BQ17" s="317" t="s">
        <v>232</v>
      </c>
      <c r="BR17" s="317" t="s">
        <v>232</v>
      </c>
      <c r="BS17" s="317" t="s">
        <v>232</v>
      </c>
      <c r="BT17" s="91">
        <v>42418</v>
      </c>
      <c r="BU17" s="91">
        <v>45466</v>
      </c>
      <c r="BV17" s="91">
        <v>45477</v>
      </c>
      <c r="BW17" s="91">
        <v>45465</v>
      </c>
      <c r="BX17" s="91">
        <v>45465</v>
      </c>
      <c r="BY17" s="91">
        <v>45459</v>
      </c>
      <c r="BZ17" s="91">
        <v>45474</v>
      </c>
      <c r="CA17" s="91">
        <v>45480</v>
      </c>
      <c r="CB17" s="91" t="s">
        <v>232</v>
      </c>
      <c r="CC17" s="91">
        <v>45480</v>
      </c>
      <c r="CD17" s="91">
        <v>45476</v>
      </c>
      <c r="CE17" s="91">
        <v>45483</v>
      </c>
      <c r="CF17" s="91">
        <v>45524</v>
      </c>
      <c r="CG17" s="91">
        <v>45532</v>
      </c>
      <c r="CH17" s="91">
        <v>45540</v>
      </c>
      <c r="CI17" s="91">
        <v>45548</v>
      </c>
      <c r="CJ17" s="91">
        <v>45559</v>
      </c>
      <c r="CK17" s="91">
        <v>45810</v>
      </c>
      <c r="CL17" s="10">
        <v>45981</v>
      </c>
      <c r="CM17" s="91" t="s">
        <v>232</v>
      </c>
      <c r="CN17" s="91">
        <v>45639</v>
      </c>
      <c r="CO17" s="91">
        <v>45701</v>
      </c>
      <c r="CP17" s="91" t="s">
        <v>232</v>
      </c>
      <c r="CQ17" s="10">
        <v>45746</v>
      </c>
      <c r="CR17" s="10" t="s">
        <v>232</v>
      </c>
      <c r="CS17" s="10" t="s">
        <v>232</v>
      </c>
      <c r="CT17" s="10" t="s">
        <v>232</v>
      </c>
      <c r="CU17" s="11" t="s">
        <v>232</v>
      </c>
      <c r="CV17" s="11" t="s">
        <v>232</v>
      </c>
      <c r="CW17" s="11" t="s">
        <v>232</v>
      </c>
      <c r="CX17" s="11"/>
      <c r="CY17" s="10"/>
    </row>
    <row r="18" spans="2:103" ht="156.75" customHeight="1">
      <c r="B18" s="462">
        <v>14</v>
      </c>
      <c r="C18" s="464" t="s">
        <v>79</v>
      </c>
      <c r="D18" s="377" t="s">
        <v>80</v>
      </c>
      <c r="E18" s="377" t="s">
        <v>275</v>
      </c>
      <c r="F18" s="377" t="s">
        <v>239</v>
      </c>
      <c r="G18" s="440" t="s">
        <v>276</v>
      </c>
      <c r="H18" s="319">
        <v>45450</v>
      </c>
      <c r="I18" s="91">
        <f t="shared" si="0"/>
        <v>46179</v>
      </c>
      <c r="J18" s="319">
        <v>45457</v>
      </c>
      <c r="K18" s="91">
        <f t="shared" si="1"/>
        <v>46186</v>
      </c>
      <c r="L18" s="319">
        <v>45481</v>
      </c>
      <c r="M18" s="91">
        <f t="shared" si="2"/>
        <v>46210</v>
      </c>
      <c r="N18" s="319">
        <v>45454</v>
      </c>
      <c r="O18" s="91">
        <f>IF(ISBLANK(N18),"",EDATE(N18,24))-1</f>
        <v>46183</v>
      </c>
      <c r="P18" s="319">
        <v>45454</v>
      </c>
      <c r="Q18" s="91">
        <f>IF(ISBLANK(P18),"",EDATE(P18,24))-1</f>
        <v>46183</v>
      </c>
      <c r="R18" s="91" t="s">
        <v>231</v>
      </c>
      <c r="S18" s="91" t="s">
        <v>231</v>
      </c>
      <c r="T18" s="91">
        <v>45611</v>
      </c>
      <c r="U18" s="91">
        <f t="shared" si="14"/>
        <v>46340</v>
      </c>
      <c r="V18" s="317" t="s">
        <v>232</v>
      </c>
      <c r="W18" s="317" t="s">
        <v>232</v>
      </c>
      <c r="X18" s="319">
        <v>45604</v>
      </c>
      <c r="Y18" s="91">
        <f t="shared" si="19"/>
        <v>46333</v>
      </c>
      <c r="Z18" s="317" t="s">
        <v>232</v>
      </c>
      <c r="AA18" s="317" t="s">
        <v>232</v>
      </c>
      <c r="AB18" s="319">
        <v>45819</v>
      </c>
      <c r="AC18" s="91">
        <f>IF(ISBLANK(AB18),"",EDATE(AB18,24))</f>
        <v>46549</v>
      </c>
      <c r="AD18" s="317" t="s">
        <v>232</v>
      </c>
      <c r="AE18" s="317" t="s">
        <v>232</v>
      </c>
      <c r="AF18" s="319">
        <v>45447</v>
      </c>
      <c r="AG18" s="91">
        <f t="shared" si="3"/>
        <v>46176</v>
      </c>
      <c r="AH18" s="91">
        <v>45460</v>
      </c>
      <c r="AI18" s="91">
        <f t="shared" si="4"/>
        <v>46189</v>
      </c>
      <c r="AJ18" s="91">
        <v>45462</v>
      </c>
      <c r="AK18" s="91">
        <f t="shared" si="5"/>
        <v>46191</v>
      </c>
      <c r="AL18" s="319">
        <v>45748</v>
      </c>
      <c r="AM18" s="91">
        <f>IF(ISBLANK(AL18),"",EDATE(AL18,12))-1</f>
        <v>46112</v>
      </c>
      <c r="AN18" s="91">
        <v>46032</v>
      </c>
      <c r="AO18" s="91">
        <f t="shared" si="6"/>
        <v>46761</v>
      </c>
      <c r="AP18" s="91">
        <v>45709</v>
      </c>
      <c r="AQ18" s="91">
        <f t="shared" si="7"/>
        <v>46438</v>
      </c>
      <c r="AR18" s="91">
        <v>45784</v>
      </c>
      <c r="AS18" s="91">
        <f t="shared" si="8"/>
        <v>46513</v>
      </c>
      <c r="AT18" s="317" t="s">
        <v>232</v>
      </c>
      <c r="AU18" s="317" t="s">
        <v>232</v>
      </c>
      <c r="AV18" s="317" t="s">
        <v>232</v>
      </c>
      <c r="AW18" s="91" t="e">
        <f t="shared" si="9"/>
        <v>#VALUE!</v>
      </c>
      <c r="AX18" s="10">
        <v>46073</v>
      </c>
      <c r="AY18" s="91">
        <f t="shared" si="11"/>
        <v>46802</v>
      </c>
      <c r="AZ18" s="317" t="s">
        <v>232</v>
      </c>
      <c r="BA18" s="91" t="e">
        <f t="shared" si="12"/>
        <v>#VALUE!</v>
      </c>
      <c r="BB18" s="317" t="s">
        <v>232</v>
      </c>
      <c r="BC18" s="317" t="s">
        <v>232</v>
      </c>
      <c r="BD18" s="91">
        <v>45714</v>
      </c>
      <c r="BE18" s="91">
        <f t="shared" ref="BE18:BE30" si="20">IF(ISBLANK(BD18),"",EDATE(BD18,24))-1</f>
        <v>46443</v>
      </c>
      <c r="BF18" s="317" t="s">
        <v>232</v>
      </c>
      <c r="BG18" s="317" t="s">
        <v>232</v>
      </c>
      <c r="BH18" s="317" t="s">
        <v>232</v>
      </c>
      <c r="BI18" s="317" t="s">
        <v>232</v>
      </c>
      <c r="BJ18" s="317" t="s">
        <v>232</v>
      </c>
      <c r="BK18" s="317" t="s">
        <v>232</v>
      </c>
      <c r="BL18" s="91">
        <v>45575</v>
      </c>
      <c r="BM18" s="91">
        <f t="shared" si="10"/>
        <v>46304</v>
      </c>
      <c r="BN18" s="91" t="s">
        <v>232</v>
      </c>
      <c r="BO18" s="91" t="s">
        <v>232</v>
      </c>
      <c r="BP18" s="91" t="s">
        <v>232</v>
      </c>
      <c r="BQ18" s="91" t="s">
        <v>232</v>
      </c>
      <c r="BR18" s="91" t="s">
        <v>232</v>
      </c>
      <c r="BS18" s="91" t="s">
        <v>232</v>
      </c>
      <c r="BT18" s="91" t="s">
        <v>232</v>
      </c>
      <c r="BU18" s="91">
        <v>45466</v>
      </c>
      <c r="BV18" s="91">
        <v>45477</v>
      </c>
      <c r="BW18" s="91">
        <v>45465</v>
      </c>
      <c r="BX18" s="91">
        <v>45465</v>
      </c>
      <c r="BY18" s="91">
        <v>45459</v>
      </c>
      <c r="BZ18" s="91">
        <v>45474</v>
      </c>
      <c r="CA18" s="91">
        <v>45480</v>
      </c>
      <c r="CB18" s="91" t="s">
        <v>232</v>
      </c>
      <c r="CC18" s="91">
        <v>45480</v>
      </c>
      <c r="CD18" s="91">
        <v>45476</v>
      </c>
      <c r="CE18" s="91">
        <v>45483</v>
      </c>
      <c r="CF18" s="91">
        <v>45526</v>
      </c>
      <c r="CG18" s="91">
        <v>45532</v>
      </c>
      <c r="CH18" s="91">
        <v>45540</v>
      </c>
      <c r="CI18" s="91">
        <v>45546</v>
      </c>
      <c r="CJ18" s="91">
        <v>45559</v>
      </c>
      <c r="CK18" s="91" t="s">
        <v>232</v>
      </c>
      <c r="CL18" s="11" t="s">
        <v>232</v>
      </c>
      <c r="CM18" s="91" t="s">
        <v>232</v>
      </c>
      <c r="CN18" s="91">
        <v>45639</v>
      </c>
      <c r="CO18" s="91">
        <v>45694</v>
      </c>
      <c r="CP18" s="91" t="s">
        <v>232</v>
      </c>
      <c r="CQ18" s="10">
        <v>45746</v>
      </c>
      <c r="CR18" s="10" t="s">
        <v>232</v>
      </c>
      <c r="CS18" s="10" t="s">
        <v>232</v>
      </c>
      <c r="CT18" s="10" t="s">
        <v>232</v>
      </c>
      <c r="CU18" s="11" t="s">
        <v>232</v>
      </c>
      <c r="CV18" s="11">
        <v>45807</v>
      </c>
      <c r="CW18" s="11" t="s">
        <v>232</v>
      </c>
      <c r="CX18" s="10">
        <v>45953</v>
      </c>
      <c r="CY18" s="11"/>
    </row>
    <row r="19" spans="2:103" ht="50.25" customHeight="1">
      <c r="B19" s="462">
        <v>15</v>
      </c>
      <c r="C19" s="464" t="s">
        <v>277</v>
      </c>
      <c r="D19" s="377" t="s">
        <v>278</v>
      </c>
      <c r="E19" s="377" t="s">
        <v>279</v>
      </c>
      <c r="F19" s="377" t="s">
        <v>280</v>
      </c>
      <c r="G19" s="441" t="s">
        <v>232</v>
      </c>
      <c r="H19" s="319">
        <v>45450</v>
      </c>
      <c r="I19" s="91">
        <f t="shared" si="0"/>
        <v>46179</v>
      </c>
      <c r="J19" s="319">
        <v>45457</v>
      </c>
      <c r="K19" s="91">
        <f t="shared" si="1"/>
        <v>46186</v>
      </c>
      <c r="L19" s="319">
        <v>45481</v>
      </c>
      <c r="M19" s="91">
        <f t="shared" si="2"/>
        <v>46210</v>
      </c>
      <c r="N19" s="91">
        <v>45454</v>
      </c>
      <c r="O19" s="91">
        <f>IF(ISBLANK(N19),"",EDATE(N19,24))-1</f>
        <v>46183</v>
      </c>
      <c r="P19" s="91">
        <v>45454</v>
      </c>
      <c r="Q19" s="91">
        <f>IF(ISBLANK(P19),"",EDATE(P19,24))-1</f>
        <v>46183</v>
      </c>
      <c r="R19" s="319">
        <v>45449</v>
      </c>
      <c r="S19" s="91">
        <f>IF(ISBLANK(R19),"",EDATE(R19,24))-1</f>
        <v>46178</v>
      </c>
      <c r="T19" s="91">
        <v>45611</v>
      </c>
      <c r="U19" s="91">
        <f t="shared" si="14"/>
        <v>46340</v>
      </c>
      <c r="V19" s="319">
        <v>45615</v>
      </c>
      <c r="W19" s="91">
        <f>IF(ISBLANK(V19),"",EDATE(V19,24))-1</f>
        <v>46344</v>
      </c>
      <c r="X19" s="319">
        <v>45604</v>
      </c>
      <c r="Y19" s="91">
        <f t="shared" si="19"/>
        <v>46333</v>
      </c>
      <c r="Z19" s="319">
        <v>45779</v>
      </c>
      <c r="AA19" s="91">
        <f>IF(ISBLANK(Z19),"",EDATE(Z19,24))-1</f>
        <v>46508</v>
      </c>
      <c r="AB19" s="317" t="s">
        <v>232</v>
      </c>
      <c r="AC19" s="317" t="s">
        <v>232</v>
      </c>
      <c r="AD19" s="319">
        <v>45795</v>
      </c>
      <c r="AE19" s="91">
        <f>IF(ISBLANK(AD19),"",EDATE(AD19,24))-1</f>
        <v>46524</v>
      </c>
      <c r="AF19" s="319">
        <v>45447</v>
      </c>
      <c r="AG19" s="91">
        <v>46177</v>
      </c>
      <c r="AH19" s="91">
        <v>45460</v>
      </c>
      <c r="AI19" s="91">
        <f t="shared" si="4"/>
        <v>46189</v>
      </c>
      <c r="AJ19" s="91">
        <v>45462</v>
      </c>
      <c r="AK19" s="91">
        <f t="shared" si="5"/>
        <v>46191</v>
      </c>
      <c r="AL19" s="319">
        <v>45748</v>
      </c>
      <c r="AM19" s="91">
        <f>IF(ISBLANK(AL19),"",EDATE(AL19,24))</f>
        <v>46478</v>
      </c>
      <c r="AN19" s="91">
        <v>46032</v>
      </c>
      <c r="AO19" s="91">
        <f t="shared" si="6"/>
        <v>46761</v>
      </c>
      <c r="AP19" s="91">
        <v>45709</v>
      </c>
      <c r="AQ19" s="91">
        <f t="shared" si="7"/>
        <v>46438</v>
      </c>
      <c r="AR19" s="91">
        <v>45784</v>
      </c>
      <c r="AS19" s="91">
        <f t="shared" si="8"/>
        <v>46513</v>
      </c>
      <c r="AT19" s="317" t="s">
        <v>232</v>
      </c>
      <c r="AU19" s="317" t="s">
        <v>232</v>
      </c>
      <c r="AV19" s="317" t="s">
        <v>232</v>
      </c>
      <c r="AW19" s="91" t="e">
        <f t="shared" si="9"/>
        <v>#VALUE!</v>
      </c>
      <c r="AX19" s="317" t="s">
        <v>232</v>
      </c>
      <c r="AY19" s="91" t="e">
        <f t="shared" si="11"/>
        <v>#VALUE!</v>
      </c>
      <c r="AZ19" s="317" t="s">
        <v>232</v>
      </c>
      <c r="BA19" s="91" t="e">
        <f t="shared" si="12"/>
        <v>#VALUE!</v>
      </c>
      <c r="BB19" s="317" t="s">
        <v>232</v>
      </c>
      <c r="BC19" s="317" t="s">
        <v>232</v>
      </c>
      <c r="BD19" s="317" t="s">
        <v>232</v>
      </c>
      <c r="BE19" s="91" t="e">
        <f t="shared" si="20"/>
        <v>#VALUE!</v>
      </c>
      <c r="BF19" s="317" t="s">
        <v>232</v>
      </c>
      <c r="BG19" s="317" t="s">
        <v>232</v>
      </c>
      <c r="BH19" s="317" t="s">
        <v>232</v>
      </c>
      <c r="BI19" s="317" t="s">
        <v>232</v>
      </c>
      <c r="BJ19" s="317" t="s">
        <v>232</v>
      </c>
      <c r="BK19" s="317" t="s">
        <v>232</v>
      </c>
      <c r="BL19" s="91">
        <v>45456</v>
      </c>
      <c r="BM19" s="91">
        <f t="shared" si="10"/>
        <v>46185</v>
      </c>
      <c r="BN19" s="91" t="s">
        <v>232</v>
      </c>
      <c r="BO19" s="91" t="s">
        <v>232</v>
      </c>
      <c r="BP19" s="91" t="s">
        <v>232</v>
      </c>
      <c r="BQ19" s="91" t="s">
        <v>232</v>
      </c>
      <c r="BR19" s="91" t="s">
        <v>232</v>
      </c>
      <c r="BS19" s="91" t="s">
        <v>232</v>
      </c>
      <c r="BT19" s="91" t="s">
        <v>232</v>
      </c>
      <c r="BU19" s="91">
        <v>45466</v>
      </c>
      <c r="BV19" s="91">
        <v>45477</v>
      </c>
      <c r="BW19" s="91">
        <v>45465</v>
      </c>
      <c r="BX19" s="91">
        <v>45465</v>
      </c>
      <c r="BY19" s="91">
        <v>45459</v>
      </c>
      <c r="BZ19" s="91">
        <v>45474</v>
      </c>
      <c r="CA19" s="91">
        <v>45480</v>
      </c>
      <c r="CB19" s="91" t="s">
        <v>232</v>
      </c>
      <c r="CC19" s="91">
        <v>45480</v>
      </c>
      <c r="CD19" s="91">
        <v>45476</v>
      </c>
      <c r="CE19" s="91">
        <v>45483</v>
      </c>
      <c r="CF19" s="91">
        <v>45526</v>
      </c>
      <c r="CG19" s="91">
        <v>45532</v>
      </c>
      <c r="CH19" s="91">
        <v>45540</v>
      </c>
      <c r="CI19" s="91">
        <v>45546</v>
      </c>
      <c r="CJ19" s="91">
        <v>45559</v>
      </c>
      <c r="CK19" s="91" t="s">
        <v>232</v>
      </c>
      <c r="CL19" s="11" t="s">
        <v>232</v>
      </c>
      <c r="CM19" s="91" t="s">
        <v>232</v>
      </c>
      <c r="CN19" s="91">
        <v>45639</v>
      </c>
      <c r="CO19" s="91">
        <v>45699</v>
      </c>
      <c r="CP19" s="91" t="s">
        <v>232</v>
      </c>
      <c r="CQ19" s="10">
        <v>45743</v>
      </c>
      <c r="CR19" s="10" t="s">
        <v>232</v>
      </c>
      <c r="CS19" s="10" t="s">
        <v>232</v>
      </c>
      <c r="CT19" s="10" t="s">
        <v>232</v>
      </c>
      <c r="CU19" s="11" t="s">
        <v>232</v>
      </c>
      <c r="CV19" s="11" t="s">
        <v>232</v>
      </c>
      <c r="CW19" s="11" t="s">
        <v>232</v>
      </c>
      <c r="CX19" s="10">
        <v>45953</v>
      </c>
      <c r="CY19" s="11"/>
    </row>
    <row r="20" spans="2:103" ht="50.25" customHeight="1">
      <c r="B20" s="462">
        <v>16</v>
      </c>
      <c r="C20" s="464" t="s">
        <v>81</v>
      </c>
      <c r="D20" s="377" t="s">
        <v>82</v>
      </c>
      <c r="E20" s="377" t="s">
        <v>281</v>
      </c>
      <c r="F20" s="377" t="s">
        <v>239</v>
      </c>
      <c r="G20" s="440" t="s">
        <v>282</v>
      </c>
      <c r="H20" s="319">
        <v>45450</v>
      </c>
      <c r="I20" s="91">
        <f t="shared" si="0"/>
        <v>46179</v>
      </c>
      <c r="J20" s="319">
        <v>45457</v>
      </c>
      <c r="K20" s="91">
        <f t="shared" si="1"/>
        <v>46186</v>
      </c>
      <c r="L20" s="319">
        <v>45481</v>
      </c>
      <c r="M20" s="91">
        <f t="shared" si="2"/>
        <v>46210</v>
      </c>
      <c r="N20" s="91">
        <v>45454</v>
      </c>
      <c r="O20" s="91">
        <f>IF(ISBLANK(N20),"",EDATE(N20,24))-1</f>
        <v>46183</v>
      </c>
      <c r="P20" s="91">
        <v>45454</v>
      </c>
      <c r="Q20" s="91">
        <f>IF(ISBLANK(P20),"",EDATE(P20,24))-1</f>
        <v>46183</v>
      </c>
      <c r="R20" s="91" t="s">
        <v>231</v>
      </c>
      <c r="S20" s="91" t="s">
        <v>231</v>
      </c>
      <c r="T20" s="317" t="s">
        <v>232</v>
      </c>
      <c r="U20" s="317" t="s">
        <v>232</v>
      </c>
      <c r="V20" s="317" t="s">
        <v>232</v>
      </c>
      <c r="W20" s="317" t="s">
        <v>232</v>
      </c>
      <c r="X20" s="317" t="s">
        <v>232</v>
      </c>
      <c r="Y20" s="317" t="s">
        <v>232</v>
      </c>
      <c r="Z20" s="317" t="s">
        <v>232</v>
      </c>
      <c r="AA20" s="317" t="s">
        <v>232</v>
      </c>
      <c r="AB20" s="317" t="s">
        <v>232</v>
      </c>
      <c r="AC20" s="91" t="e">
        <f>IF(ISBLANK(AB20),"",EDATE(AB20,24))-1</f>
        <v>#VALUE!</v>
      </c>
      <c r="AD20" s="317" t="s">
        <v>232</v>
      </c>
      <c r="AE20" s="91" t="e">
        <f>IF(ISBLANK(AD20),"",EDATE(AD20,24))-1</f>
        <v>#VALUE!</v>
      </c>
      <c r="AF20" s="319">
        <v>45447</v>
      </c>
      <c r="AG20" s="91">
        <f>IF(ISBLANK(AF20),"",EDATE(AF20,24))-1</f>
        <v>46176</v>
      </c>
      <c r="AH20" s="91">
        <v>45460</v>
      </c>
      <c r="AI20" s="91">
        <f t="shared" si="4"/>
        <v>46189</v>
      </c>
      <c r="AJ20" s="91">
        <v>45462</v>
      </c>
      <c r="AK20" s="91">
        <f t="shared" si="5"/>
        <v>46191</v>
      </c>
      <c r="AL20" s="319">
        <v>45748</v>
      </c>
      <c r="AM20" s="91">
        <f>IF(ISBLANK(AL20),"",EDATE(AL20,12))-1</f>
        <v>46112</v>
      </c>
      <c r="AN20" s="91">
        <v>46032</v>
      </c>
      <c r="AO20" s="91">
        <f t="shared" si="6"/>
        <v>46761</v>
      </c>
      <c r="AP20" s="91">
        <v>45709</v>
      </c>
      <c r="AQ20" s="91">
        <f t="shared" si="7"/>
        <v>46438</v>
      </c>
      <c r="AR20" s="91">
        <v>45784</v>
      </c>
      <c r="AS20" s="91">
        <f t="shared" si="8"/>
        <v>46513</v>
      </c>
      <c r="AT20" s="317" t="s">
        <v>232</v>
      </c>
      <c r="AU20" s="317" t="s">
        <v>232</v>
      </c>
      <c r="AV20" s="317" t="s">
        <v>232</v>
      </c>
      <c r="AW20" s="91" t="e">
        <f t="shared" si="9"/>
        <v>#VALUE!</v>
      </c>
      <c r="AX20" s="91">
        <v>45828</v>
      </c>
      <c r="AY20" s="91">
        <f t="shared" si="11"/>
        <v>46557</v>
      </c>
      <c r="AZ20" s="317" t="s">
        <v>232</v>
      </c>
      <c r="BA20" s="91" t="e">
        <f t="shared" si="12"/>
        <v>#VALUE!</v>
      </c>
      <c r="BB20" s="317" t="s">
        <v>232</v>
      </c>
      <c r="BC20" s="317" t="s">
        <v>232</v>
      </c>
      <c r="BD20" s="317" t="s">
        <v>232</v>
      </c>
      <c r="BE20" s="91" t="e">
        <f t="shared" si="20"/>
        <v>#VALUE!</v>
      </c>
      <c r="BF20" s="317" t="s">
        <v>232</v>
      </c>
      <c r="BG20" s="317" t="s">
        <v>232</v>
      </c>
      <c r="BH20" s="317" t="s">
        <v>232</v>
      </c>
      <c r="BI20" s="317" t="s">
        <v>232</v>
      </c>
      <c r="BJ20" s="317" t="s">
        <v>232</v>
      </c>
      <c r="BK20" s="317" t="s">
        <v>232</v>
      </c>
      <c r="BL20" s="91">
        <v>45456</v>
      </c>
      <c r="BM20" s="91">
        <f t="shared" si="10"/>
        <v>46185</v>
      </c>
      <c r="BN20" s="91">
        <v>45404</v>
      </c>
      <c r="BO20" s="91" t="s">
        <v>232</v>
      </c>
      <c r="BP20" s="91" t="s">
        <v>232</v>
      </c>
      <c r="BQ20" s="91" t="s">
        <v>232</v>
      </c>
      <c r="BR20" s="91" t="s">
        <v>232</v>
      </c>
      <c r="BS20" s="91" t="s">
        <v>232</v>
      </c>
      <c r="BT20" s="91">
        <v>45383</v>
      </c>
      <c r="BU20" s="91">
        <v>45466</v>
      </c>
      <c r="BV20" s="91">
        <v>45477</v>
      </c>
      <c r="BW20" s="91">
        <v>45465</v>
      </c>
      <c r="BX20" s="91">
        <v>45465</v>
      </c>
      <c r="BY20" s="91" t="s">
        <v>283</v>
      </c>
      <c r="BZ20" s="91">
        <v>45474</v>
      </c>
      <c r="CA20" s="91">
        <v>45480</v>
      </c>
      <c r="CB20" s="91">
        <v>45790</v>
      </c>
      <c r="CC20" s="91">
        <v>45480</v>
      </c>
      <c r="CD20" s="91">
        <v>45476</v>
      </c>
      <c r="CE20" s="91">
        <v>45483</v>
      </c>
      <c r="CF20" s="91">
        <v>45524</v>
      </c>
      <c r="CG20" s="91">
        <v>45532</v>
      </c>
      <c r="CH20" s="91">
        <v>45540</v>
      </c>
      <c r="CI20" s="91">
        <v>45548</v>
      </c>
      <c r="CJ20" s="91">
        <v>45559</v>
      </c>
      <c r="CK20" s="91" t="s">
        <v>232</v>
      </c>
      <c r="CL20" s="11" t="s">
        <v>232</v>
      </c>
      <c r="CM20" s="91" t="s">
        <v>232</v>
      </c>
      <c r="CN20" s="91">
        <v>45639</v>
      </c>
      <c r="CO20" s="91">
        <v>45701</v>
      </c>
      <c r="CP20" s="91" t="s">
        <v>232</v>
      </c>
      <c r="CQ20" s="10">
        <v>45742</v>
      </c>
      <c r="CR20" s="10" t="s">
        <v>232</v>
      </c>
      <c r="CS20" s="10" t="s">
        <v>232</v>
      </c>
      <c r="CT20" s="10" t="s">
        <v>232</v>
      </c>
      <c r="CU20" s="10">
        <v>45931</v>
      </c>
      <c r="CV20" s="11" t="s">
        <v>232</v>
      </c>
      <c r="CW20" s="11" t="s">
        <v>232</v>
      </c>
      <c r="CX20" s="11"/>
      <c r="CY20" s="10">
        <v>46017</v>
      </c>
    </row>
    <row r="21" spans="2:103" ht="50.25" customHeight="1">
      <c r="B21" s="462">
        <v>17</v>
      </c>
      <c r="C21" s="464" t="s">
        <v>83</v>
      </c>
      <c r="D21" s="377" t="s">
        <v>84</v>
      </c>
      <c r="E21" s="377" t="s">
        <v>284</v>
      </c>
      <c r="F21" s="377" t="s">
        <v>229</v>
      </c>
      <c r="G21" s="439" t="s">
        <v>230</v>
      </c>
      <c r="H21" s="319">
        <v>45450</v>
      </c>
      <c r="I21" s="91">
        <f t="shared" si="0"/>
        <v>46179</v>
      </c>
      <c r="J21" s="319">
        <v>45457</v>
      </c>
      <c r="K21" s="91">
        <f t="shared" si="1"/>
        <v>46186</v>
      </c>
      <c r="L21" s="319">
        <v>45481</v>
      </c>
      <c r="M21" s="91">
        <f t="shared" si="2"/>
        <v>46210</v>
      </c>
      <c r="N21" s="91" t="s">
        <v>231</v>
      </c>
      <c r="O21" s="91" t="s">
        <v>231</v>
      </c>
      <c r="P21" s="91" t="s">
        <v>231</v>
      </c>
      <c r="Q21" s="91" t="s">
        <v>231</v>
      </c>
      <c r="R21" s="319">
        <v>45449</v>
      </c>
      <c r="S21" s="91">
        <f>IF(ISBLANK(R21),"",EDATE(R21,24))-1</f>
        <v>46178</v>
      </c>
      <c r="T21" s="91">
        <v>45611</v>
      </c>
      <c r="U21" s="91">
        <f>IF(ISBLANK(T21),"",EDATE(T21,24))-1</f>
        <v>46340</v>
      </c>
      <c r="V21" s="319">
        <v>45615</v>
      </c>
      <c r="W21" s="91">
        <f>IF(ISBLANK(V21),"",EDATE(V21,24))-1</f>
        <v>46344</v>
      </c>
      <c r="X21" s="317" t="s">
        <v>231</v>
      </c>
      <c r="Y21" s="317" t="s">
        <v>231</v>
      </c>
      <c r="Z21" s="317" t="s">
        <v>232</v>
      </c>
      <c r="AA21" s="317" t="s">
        <v>232</v>
      </c>
      <c r="AB21" s="317" t="s">
        <v>232</v>
      </c>
      <c r="AC21" s="317" t="s">
        <v>232</v>
      </c>
      <c r="AD21" s="319">
        <v>45795</v>
      </c>
      <c r="AE21" s="91">
        <f>IF(ISBLANK(AD21),"",EDATE(AD21,24))-1</f>
        <v>46524</v>
      </c>
      <c r="AF21" s="319">
        <v>45447</v>
      </c>
      <c r="AG21" s="91">
        <f>IF(ISBLANK(AF21),"",EDATE(AF21,24))-1</f>
        <v>46176</v>
      </c>
      <c r="AH21" s="91">
        <v>45460</v>
      </c>
      <c r="AI21" s="91">
        <f t="shared" si="4"/>
        <v>46189</v>
      </c>
      <c r="AJ21" s="91">
        <v>45462</v>
      </c>
      <c r="AK21" s="91">
        <f t="shared" si="5"/>
        <v>46191</v>
      </c>
      <c r="AL21" s="319">
        <v>45748</v>
      </c>
      <c r="AM21" s="91">
        <f>IF(ISBLANK(AL21),"",EDATE(AL21,12))-1</f>
        <v>46112</v>
      </c>
      <c r="AN21" s="91">
        <v>46032</v>
      </c>
      <c r="AO21" s="91">
        <f t="shared" si="6"/>
        <v>46761</v>
      </c>
      <c r="AP21" s="91">
        <v>45709</v>
      </c>
      <c r="AQ21" s="91">
        <f t="shared" si="7"/>
        <v>46438</v>
      </c>
      <c r="AR21" s="91">
        <v>45784</v>
      </c>
      <c r="AS21" s="91">
        <f t="shared" si="8"/>
        <v>46513</v>
      </c>
      <c r="AT21" s="91">
        <v>45782</v>
      </c>
      <c r="AU21" s="91">
        <f>IF(ISBLANK(AT21),"",EDATE(AT21,24))-1</f>
        <v>46511</v>
      </c>
      <c r="AV21" s="91">
        <v>45782</v>
      </c>
      <c r="AW21" s="91">
        <f t="shared" si="9"/>
        <v>46511</v>
      </c>
      <c r="AX21" s="317" t="s">
        <v>232</v>
      </c>
      <c r="AY21" s="91" t="e">
        <f t="shared" si="11"/>
        <v>#VALUE!</v>
      </c>
      <c r="AZ21" s="317" t="s">
        <v>232</v>
      </c>
      <c r="BA21" s="91" t="e">
        <f t="shared" si="12"/>
        <v>#VALUE!</v>
      </c>
      <c r="BB21" s="317" t="s">
        <v>232</v>
      </c>
      <c r="BC21" s="317" t="s">
        <v>232</v>
      </c>
      <c r="BD21" s="91">
        <v>45714</v>
      </c>
      <c r="BE21" s="91">
        <f t="shared" si="20"/>
        <v>46443</v>
      </c>
      <c r="BF21" s="317" t="s">
        <v>232</v>
      </c>
      <c r="BG21" s="317" t="s">
        <v>232</v>
      </c>
      <c r="BH21" s="317" t="s">
        <v>232</v>
      </c>
      <c r="BI21" s="317" t="s">
        <v>232</v>
      </c>
      <c r="BJ21" s="317" t="s">
        <v>232</v>
      </c>
      <c r="BK21" s="317" t="s">
        <v>232</v>
      </c>
      <c r="BL21" s="91">
        <v>45456</v>
      </c>
      <c r="BM21" s="91">
        <f t="shared" si="10"/>
        <v>46185</v>
      </c>
      <c r="BN21" s="91" t="s">
        <v>232</v>
      </c>
      <c r="BO21" s="91" t="s">
        <v>232</v>
      </c>
      <c r="BP21" s="91" t="s">
        <v>232</v>
      </c>
      <c r="BQ21" s="91" t="s">
        <v>232</v>
      </c>
      <c r="BR21" s="91" t="s">
        <v>232</v>
      </c>
      <c r="BS21" s="91">
        <v>45597</v>
      </c>
      <c r="BT21" s="91" t="s">
        <v>232</v>
      </c>
      <c r="BU21" s="91">
        <v>45466</v>
      </c>
      <c r="BV21" s="91">
        <v>45477</v>
      </c>
      <c r="BW21" s="91">
        <v>45465</v>
      </c>
      <c r="BX21" s="91">
        <v>45465</v>
      </c>
      <c r="BY21" s="91">
        <v>45459</v>
      </c>
      <c r="BZ21" s="91">
        <v>45474</v>
      </c>
      <c r="CA21" s="91">
        <v>45480</v>
      </c>
      <c r="CB21" s="91" t="s">
        <v>232</v>
      </c>
      <c r="CC21" s="91">
        <v>45480</v>
      </c>
      <c r="CD21" s="91">
        <v>45476</v>
      </c>
      <c r="CE21" s="91">
        <v>45483</v>
      </c>
      <c r="CF21" s="91">
        <v>45526</v>
      </c>
      <c r="CG21" s="91">
        <v>45532</v>
      </c>
      <c r="CH21" s="91">
        <v>45540</v>
      </c>
      <c r="CI21" s="91">
        <v>45551</v>
      </c>
      <c r="CJ21" s="91">
        <v>45559</v>
      </c>
      <c r="CK21" s="91">
        <v>45810</v>
      </c>
      <c r="CL21" s="10">
        <v>45981</v>
      </c>
      <c r="CM21" s="91" t="s">
        <v>232</v>
      </c>
      <c r="CN21" s="91">
        <v>45639</v>
      </c>
      <c r="CO21" s="381">
        <v>45699</v>
      </c>
      <c r="CP21" s="91" t="s">
        <v>232</v>
      </c>
      <c r="CQ21" s="10">
        <v>45637</v>
      </c>
      <c r="CR21" s="10" t="s">
        <v>232</v>
      </c>
      <c r="CS21" s="10" t="s">
        <v>232</v>
      </c>
      <c r="CT21" s="10" t="s">
        <v>232</v>
      </c>
      <c r="CU21" s="11" t="s">
        <v>232</v>
      </c>
      <c r="CV21" s="11" t="s">
        <v>232</v>
      </c>
      <c r="CW21" s="11" t="s">
        <v>232</v>
      </c>
      <c r="CX21" s="10">
        <v>45953</v>
      </c>
      <c r="CY21" s="10"/>
    </row>
    <row r="22" spans="2:103" ht="50.25" customHeight="1">
      <c r="B22" s="462">
        <v>18</v>
      </c>
      <c r="C22" s="464" t="s">
        <v>85</v>
      </c>
      <c r="D22" s="377" t="s">
        <v>86</v>
      </c>
      <c r="E22" s="377" t="s">
        <v>285</v>
      </c>
      <c r="F22" s="377" t="s">
        <v>229</v>
      </c>
      <c r="G22" s="439" t="s">
        <v>286</v>
      </c>
      <c r="H22" s="319">
        <v>45479</v>
      </c>
      <c r="I22" s="91">
        <f t="shared" si="0"/>
        <v>46208</v>
      </c>
      <c r="J22" s="319">
        <v>45457</v>
      </c>
      <c r="K22" s="91">
        <f t="shared" si="1"/>
        <v>46186</v>
      </c>
      <c r="L22" s="319">
        <v>45481</v>
      </c>
      <c r="M22" s="91">
        <f t="shared" si="2"/>
        <v>46210</v>
      </c>
      <c r="N22" s="91">
        <v>45448</v>
      </c>
      <c r="O22" s="91">
        <f t="shared" ref="O22:O31" si="21">IF(ISBLANK(N22),"",EDATE(N22,24))-1</f>
        <v>46177</v>
      </c>
      <c r="P22" s="91">
        <v>45449</v>
      </c>
      <c r="Q22" s="91">
        <f t="shared" ref="Q22:Q31" si="22">IF(ISBLANK(P22),"",EDATE(P22,24))-1</f>
        <v>46178</v>
      </c>
      <c r="R22" s="319">
        <v>45471</v>
      </c>
      <c r="S22" s="91">
        <f>IF(ISBLANK(R22),"",EDATE(R22,24))-1</f>
        <v>46200</v>
      </c>
      <c r="T22" s="91">
        <v>45611</v>
      </c>
      <c r="U22" s="91">
        <f>IF(ISBLANK(T22),"",EDATE(T22,24))-1</f>
        <v>46340</v>
      </c>
      <c r="V22" s="91">
        <v>45695</v>
      </c>
      <c r="W22" s="91">
        <f>IF(ISBLANK(V22),"",EDATE(V22,24))</f>
        <v>46425</v>
      </c>
      <c r="X22" s="319">
        <v>45604</v>
      </c>
      <c r="Y22" s="91">
        <f>IF(ISBLANK(X22),"",EDATE(X22,24))-1</f>
        <v>46333</v>
      </c>
      <c r="Z22" s="317" t="s">
        <v>232</v>
      </c>
      <c r="AA22" s="317" t="s">
        <v>232</v>
      </c>
      <c r="AB22" s="317" t="s">
        <v>232</v>
      </c>
      <c r="AC22" s="317" t="s">
        <v>232</v>
      </c>
      <c r="AD22" s="319">
        <v>45795</v>
      </c>
      <c r="AE22" s="91">
        <f>IF(ISBLANK(AD22),"",EDATE(AD22,24))-1</f>
        <v>46524</v>
      </c>
      <c r="AF22" s="319">
        <v>45469</v>
      </c>
      <c r="AG22" s="91">
        <f>IF(ISBLANK(AF22),"",EDATE(AF22,24))-1</f>
        <v>46198</v>
      </c>
      <c r="AH22" s="91">
        <v>45460</v>
      </c>
      <c r="AI22" s="91">
        <f t="shared" si="4"/>
        <v>46189</v>
      </c>
      <c r="AJ22" s="91">
        <v>45462</v>
      </c>
      <c r="AK22" s="91">
        <f t="shared" si="5"/>
        <v>46191</v>
      </c>
      <c r="AL22" s="319">
        <v>45748</v>
      </c>
      <c r="AM22" s="91">
        <f>IF(ISBLANK(AL22),"",EDATE(AL22,12))-1</f>
        <v>46112</v>
      </c>
      <c r="AN22" s="91">
        <v>46032</v>
      </c>
      <c r="AO22" s="91">
        <f t="shared" si="6"/>
        <v>46761</v>
      </c>
      <c r="AP22" s="91">
        <v>45709</v>
      </c>
      <c r="AQ22" s="91">
        <f t="shared" si="7"/>
        <v>46438</v>
      </c>
      <c r="AR22" s="91">
        <v>45784</v>
      </c>
      <c r="AS22" s="91">
        <f t="shared" si="8"/>
        <v>46513</v>
      </c>
      <c r="AT22" s="91">
        <v>45782</v>
      </c>
      <c r="AU22" s="91">
        <f>IF(ISBLANK(AT22),"",EDATE(AT22,24))-1</f>
        <v>46511</v>
      </c>
      <c r="AV22" s="317" t="s">
        <v>232</v>
      </c>
      <c r="AW22" s="91" t="e">
        <f t="shared" si="9"/>
        <v>#VALUE!</v>
      </c>
      <c r="AX22" s="317" t="s">
        <v>232</v>
      </c>
      <c r="AY22" s="91" t="e">
        <f t="shared" si="11"/>
        <v>#VALUE!</v>
      </c>
      <c r="AZ22" s="317" t="s">
        <v>232</v>
      </c>
      <c r="BA22" s="91" t="e">
        <f t="shared" si="12"/>
        <v>#VALUE!</v>
      </c>
      <c r="BB22" s="317" t="s">
        <v>232</v>
      </c>
      <c r="BC22" s="317" t="s">
        <v>232</v>
      </c>
      <c r="BD22" s="317" t="s">
        <v>232</v>
      </c>
      <c r="BE22" s="91" t="e">
        <f t="shared" si="20"/>
        <v>#VALUE!</v>
      </c>
      <c r="BF22" s="317" t="s">
        <v>232</v>
      </c>
      <c r="BG22" s="317" t="s">
        <v>232</v>
      </c>
      <c r="BH22" s="317" t="s">
        <v>232</v>
      </c>
      <c r="BI22" s="317" t="s">
        <v>232</v>
      </c>
      <c r="BJ22" s="317" t="s">
        <v>232</v>
      </c>
      <c r="BK22" s="317" t="s">
        <v>232</v>
      </c>
      <c r="BL22" s="91">
        <v>45575</v>
      </c>
      <c r="BM22" s="91">
        <f t="shared" si="10"/>
        <v>46304</v>
      </c>
      <c r="BN22" s="91" t="s">
        <v>232</v>
      </c>
      <c r="BO22" s="91" t="s">
        <v>232</v>
      </c>
      <c r="BP22" s="91" t="s">
        <v>232</v>
      </c>
      <c r="BQ22" s="91" t="s">
        <v>232</v>
      </c>
      <c r="BR22" s="91" t="s">
        <v>232</v>
      </c>
      <c r="BS22" s="91" t="s">
        <v>232</v>
      </c>
      <c r="BT22" s="91" t="s">
        <v>232</v>
      </c>
      <c r="BU22" s="91">
        <v>45466</v>
      </c>
      <c r="BV22" s="91">
        <v>45477</v>
      </c>
      <c r="BW22" s="91">
        <v>45465</v>
      </c>
      <c r="BX22" s="91">
        <v>45465</v>
      </c>
      <c r="BY22" s="91">
        <v>45459</v>
      </c>
      <c r="BZ22" s="91">
        <v>46000</v>
      </c>
      <c r="CA22" s="91">
        <v>45480</v>
      </c>
      <c r="CB22" s="91" t="s">
        <v>232</v>
      </c>
      <c r="CC22" s="91">
        <v>45480</v>
      </c>
      <c r="CD22" s="91">
        <v>45476</v>
      </c>
      <c r="CE22" s="91">
        <v>45483</v>
      </c>
      <c r="CF22" s="91">
        <v>45524</v>
      </c>
      <c r="CG22" s="91">
        <v>45532</v>
      </c>
      <c r="CH22" s="91">
        <v>45540</v>
      </c>
      <c r="CI22" s="91">
        <v>45551</v>
      </c>
      <c r="CJ22" s="91">
        <v>45559</v>
      </c>
      <c r="CK22" s="91" t="s">
        <v>232</v>
      </c>
      <c r="CL22" s="11" t="s">
        <v>232</v>
      </c>
      <c r="CM22" s="91" t="s">
        <v>232</v>
      </c>
      <c r="CN22" s="91">
        <v>45639</v>
      </c>
      <c r="CO22" s="91">
        <v>45699</v>
      </c>
      <c r="CP22" s="91" t="s">
        <v>232</v>
      </c>
      <c r="CQ22" s="10">
        <v>45743</v>
      </c>
      <c r="CR22" s="10" t="s">
        <v>232</v>
      </c>
      <c r="CS22" s="10" t="s">
        <v>232</v>
      </c>
      <c r="CT22" s="10" t="s">
        <v>232</v>
      </c>
      <c r="CU22" s="11" t="s">
        <v>232</v>
      </c>
      <c r="CV22" s="11" t="s">
        <v>232</v>
      </c>
      <c r="CW22" s="11" t="s">
        <v>232</v>
      </c>
      <c r="CX22" s="11"/>
      <c r="CY22" s="11"/>
    </row>
    <row r="23" spans="2:103" ht="69.75" customHeight="1">
      <c r="B23" s="462">
        <v>19</v>
      </c>
      <c r="C23" s="464" t="s">
        <v>287</v>
      </c>
      <c r="D23" s="377" t="s">
        <v>288</v>
      </c>
      <c r="E23" s="377" t="s">
        <v>289</v>
      </c>
      <c r="F23" s="377" t="s">
        <v>239</v>
      </c>
      <c r="G23" s="440" t="s">
        <v>290</v>
      </c>
      <c r="H23" s="319">
        <v>45479</v>
      </c>
      <c r="I23" s="91">
        <f t="shared" si="0"/>
        <v>46208</v>
      </c>
      <c r="J23" s="319">
        <v>45478</v>
      </c>
      <c r="K23" s="91">
        <f t="shared" si="1"/>
        <v>46207</v>
      </c>
      <c r="L23" s="319">
        <v>45486</v>
      </c>
      <c r="M23" s="91">
        <f t="shared" si="2"/>
        <v>46215</v>
      </c>
      <c r="N23" s="91">
        <v>45448</v>
      </c>
      <c r="O23" s="91">
        <f t="shared" si="21"/>
        <v>46177</v>
      </c>
      <c r="P23" s="91">
        <v>45449</v>
      </c>
      <c r="Q23" s="91">
        <f t="shared" si="22"/>
        <v>46178</v>
      </c>
      <c r="R23" s="91" t="s">
        <v>231</v>
      </c>
      <c r="S23" s="91" t="s">
        <v>231</v>
      </c>
      <c r="T23" s="317" t="s">
        <v>232</v>
      </c>
      <c r="U23" s="317" t="s">
        <v>232</v>
      </c>
      <c r="V23" s="317" t="s">
        <v>232</v>
      </c>
      <c r="W23" s="317" t="s">
        <v>232</v>
      </c>
      <c r="X23" s="317">
        <v>45834</v>
      </c>
      <c r="Y23" s="317">
        <v>46564</v>
      </c>
      <c r="Z23" s="317" t="s">
        <v>232</v>
      </c>
      <c r="AA23" s="317" t="s">
        <v>232</v>
      </c>
      <c r="AB23" s="317" t="s">
        <v>232</v>
      </c>
      <c r="AC23" s="317" t="s">
        <v>232</v>
      </c>
      <c r="AD23" s="319">
        <v>45795</v>
      </c>
      <c r="AE23" s="91">
        <f>IF(ISBLANK(AD23),"",EDATE(AD23,24))-1</f>
        <v>46524</v>
      </c>
      <c r="AF23" s="319">
        <v>45469</v>
      </c>
      <c r="AG23" s="91">
        <v>46199</v>
      </c>
      <c r="AH23" s="91">
        <v>45673</v>
      </c>
      <c r="AI23" s="91">
        <f t="shared" si="4"/>
        <v>46402</v>
      </c>
      <c r="AJ23" s="91">
        <v>45674</v>
      </c>
      <c r="AK23" s="91">
        <f t="shared" si="5"/>
        <v>46403</v>
      </c>
      <c r="AL23" s="319">
        <v>45785</v>
      </c>
      <c r="AM23" s="91">
        <f>IF(ISBLANK(AL23),"",EDATE(AL23,24))</f>
        <v>46515</v>
      </c>
      <c r="AN23" s="91">
        <v>45786</v>
      </c>
      <c r="AO23" s="91">
        <f t="shared" si="6"/>
        <v>46515</v>
      </c>
      <c r="AP23" s="91">
        <v>45709</v>
      </c>
      <c r="AQ23" s="91">
        <f t="shared" si="7"/>
        <v>46438</v>
      </c>
      <c r="AR23" s="91">
        <v>45784</v>
      </c>
      <c r="AS23" s="91">
        <f t="shared" si="8"/>
        <v>46513</v>
      </c>
      <c r="AT23" s="317" t="s">
        <v>232</v>
      </c>
      <c r="AU23" s="317" t="s">
        <v>232</v>
      </c>
      <c r="AV23" s="317" t="s">
        <v>232</v>
      </c>
      <c r="AW23" s="91" t="e">
        <f t="shared" si="9"/>
        <v>#VALUE!</v>
      </c>
      <c r="AX23" s="91">
        <v>45828</v>
      </c>
      <c r="AY23" s="91">
        <f t="shared" si="11"/>
        <v>46557</v>
      </c>
      <c r="AZ23" s="317" t="s">
        <v>232</v>
      </c>
      <c r="BA23" s="91" t="e">
        <f t="shared" si="12"/>
        <v>#VALUE!</v>
      </c>
      <c r="BB23" s="317" t="s">
        <v>232</v>
      </c>
      <c r="BC23" s="317" t="s">
        <v>232</v>
      </c>
      <c r="BD23" s="317" t="s">
        <v>232</v>
      </c>
      <c r="BE23" s="91" t="e">
        <f t="shared" si="20"/>
        <v>#VALUE!</v>
      </c>
      <c r="BF23" s="317" t="s">
        <v>232</v>
      </c>
      <c r="BG23" s="317" t="s">
        <v>232</v>
      </c>
      <c r="BH23" s="317" t="s">
        <v>232</v>
      </c>
      <c r="BI23" s="317" t="s">
        <v>232</v>
      </c>
      <c r="BJ23" s="317" t="s">
        <v>232</v>
      </c>
      <c r="BK23" s="317" t="s">
        <v>232</v>
      </c>
      <c r="BL23" s="91">
        <v>45575</v>
      </c>
      <c r="BM23" s="91">
        <f t="shared" si="10"/>
        <v>46304</v>
      </c>
      <c r="BN23" s="91" t="s">
        <v>232</v>
      </c>
      <c r="BO23" s="91" t="s">
        <v>232</v>
      </c>
      <c r="BP23" s="91" t="s">
        <v>232</v>
      </c>
      <c r="BQ23" s="91" t="s">
        <v>232</v>
      </c>
      <c r="BR23" s="91" t="s">
        <v>232</v>
      </c>
      <c r="BS23" s="91" t="s">
        <v>232</v>
      </c>
      <c r="BT23" s="91" t="s">
        <v>232</v>
      </c>
      <c r="BU23" s="91">
        <v>45466</v>
      </c>
      <c r="BV23" s="91">
        <v>45477</v>
      </c>
      <c r="BW23" s="91">
        <v>45465</v>
      </c>
      <c r="BX23" s="91">
        <v>45465</v>
      </c>
      <c r="BY23" s="91">
        <v>45459</v>
      </c>
      <c r="BZ23" s="91">
        <v>45474</v>
      </c>
      <c r="CA23" s="91">
        <v>45480</v>
      </c>
      <c r="CB23" s="91">
        <v>45790</v>
      </c>
      <c r="CC23" s="91">
        <v>45480</v>
      </c>
      <c r="CD23" s="91">
        <v>45476</v>
      </c>
      <c r="CE23" s="91">
        <v>45483</v>
      </c>
      <c r="CF23" s="91">
        <v>45526</v>
      </c>
      <c r="CG23" s="91">
        <v>45532</v>
      </c>
      <c r="CH23" s="91">
        <v>45540</v>
      </c>
      <c r="CI23" s="91">
        <v>45546</v>
      </c>
      <c r="CJ23" s="91">
        <v>45559</v>
      </c>
      <c r="CK23" s="91" t="s">
        <v>232</v>
      </c>
      <c r="CL23" s="11" t="s">
        <v>232</v>
      </c>
      <c r="CM23" s="91">
        <v>45609</v>
      </c>
      <c r="CN23" s="91">
        <v>45639</v>
      </c>
      <c r="CO23" s="381">
        <v>45699</v>
      </c>
      <c r="CP23" s="91" t="s">
        <v>232</v>
      </c>
      <c r="CQ23" s="10">
        <v>45749</v>
      </c>
      <c r="CR23" s="10" t="s">
        <v>232</v>
      </c>
      <c r="CS23" s="10" t="s">
        <v>232</v>
      </c>
      <c r="CT23" s="10" t="s">
        <v>232</v>
      </c>
      <c r="CU23" s="11">
        <v>46070</v>
      </c>
      <c r="CV23" s="11" t="s">
        <v>232</v>
      </c>
      <c r="CW23" s="11" t="s">
        <v>232</v>
      </c>
      <c r="CX23" s="11"/>
      <c r="CY23" s="10">
        <v>46017</v>
      </c>
    </row>
    <row r="24" spans="2:103" ht="50.25" customHeight="1">
      <c r="B24" s="462">
        <v>20</v>
      </c>
      <c r="C24" s="464" t="s">
        <v>291</v>
      </c>
      <c r="D24" s="377" t="s">
        <v>292</v>
      </c>
      <c r="E24" s="377" t="s">
        <v>293</v>
      </c>
      <c r="F24" s="377" t="s">
        <v>294</v>
      </c>
      <c r="G24" s="441" t="s">
        <v>232</v>
      </c>
      <c r="H24" s="319">
        <v>45545</v>
      </c>
      <c r="I24" s="91">
        <f t="shared" si="0"/>
        <v>46274</v>
      </c>
      <c r="J24" s="319">
        <v>45544</v>
      </c>
      <c r="K24" s="91">
        <f t="shared" si="1"/>
        <v>46273</v>
      </c>
      <c r="L24" s="319">
        <v>45574</v>
      </c>
      <c r="M24" s="91">
        <f t="shared" si="2"/>
        <v>46303</v>
      </c>
      <c r="N24" s="91">
        <v>45567</v>
      </c>
      <c r="O24" s="91">
        <f t="shared" si="21"/>
        <v>46296</v>
      </c>
      <c r="P24" s="91">
        <v>45568</v>
      </c>
      <c r="Q24" s="91">
        <f t="shared" si="22"/>
        <v>46297</v>
      </c>
      <c r="R24" s="319">
        <v>45581</v>
      </c>
      <c r="S24" s="91">
        <f t="shared" ref="S24:S31" si="23">IF(ISBLANK(R24),"",EDATE(R24,24))-1</f>
        <v>46310</v>
      </c>
      <c r="T24" s="91">
        <v>45611</v>
      </c>
      <c r="U24" s="91">
        <f>IF(ISBLANK(T24),"",EDATE(T24,24))-1</f>
        <v>46340</v>
      </c>
      <c r="V24" s="319">
        <v>45615</v>
      </c>
      <c r="W24" s="91">
        <f>IF(ISBLANK(V24),"",EDATE(V24,24))-1</f>
        <v>46344</v>
      </c>
      <c r="X24" s="319">
        <v>45604</v>
      </c>
      <c r="Y24" s="91">
        <f>IF(ISBLANK(X24),"",EDATE(X24,24))-1</f>
        <v>46333</v>
      </c>
      <c r="Z24" s="317" t="s">
        <v>232</v>
      </c>
      <c r="AA24" s="317" t="s">
        <v>232</v>
      </c>
      <c r="AB24" s="317" t="s">
        <v>232</v>
      </c>
      <c r="AC24" s="317" t="s">
        <v>232</v>
      </c>
      <c r="AD24" s="317" t="s">
        <v>232</v>
      </c>
      <c r="AE24" s="317" t="s">
        <v>232</v>
      </c>
      <c r="AF24" s="319">
        <v>45541</v>
      </c>
      <c r="AG24" s="91">
        <f>IF(ISBLANK(AF24),"",EDATE(AF24,24))</f>
        <v>46271</v>
      </c>
      <c r="AH24" s="91">
        <v>45577</v>
      </c>
      <c r="AI24" s="91">
        <f>IF(ISBLANK(AH24),"",EDATE(AH24,24))</f>
        <v>46307</v>
      </c>
      <c r="AJ24" s="91">
        <v>45579</v>
      </c>
      <c r="AK24" s="91">
        <f>IF(ISBLANK(AJ24),"",EDATE(AJ24,24))</f>
        <v>46309</v>
      </c>
      <c r="AL24" s="319">
        <v>45785</v>
      </c>
      <c r="AM24" s="91">
        <f>IF(ISBLANK(AL24),"",EDATE(AL24,24))</f>
        <v>46515</v>
      </c>
      <c r="AN24" s="91">
        <v>45560</v>
      </c>
      <c r="AO24" s="91">
        <f t="shared" si="6"/>
        <v>46289</v>
      </c>
      <c r="AP24" s="91">
        <v>45709</v>
      </c>
      <c r="AQ24" s="91">
        <f t="shared" si="7"/>
        <v>46438</v>
      </c>
      <c r="AR24" s="91">
        <v>45784</v>
      </c>
      <c r="AS24" s="91">
        <f t="shared" si="8"/>
        <v>46513</v>
      </c>
      <c r="AT24" s="317" t="s">
        <v>232</v>
      </c>
      <c r="AU24" s="317" t="s">
        <v>232</v>
      </c>
      <c r="AV24" s="317" t="s">
        <v>232</v>
      </c>
      <c r="AW24" s="91" t="e">
        <f t="shared" si="9"/>
        <v>#VALUE!</v>
      </c>
      <c r="AX24" s="317" t="s">
        <v>232</v>
      </c>
      <c r="AY24" s="91" t="e">
        <f t="shared" si="11"/>
        <v>#VALUE!</v>
      </c>
      <c r="AZ24" s="317" t="s">
        <v>232</v>
      </c>
      <c r="BA24" s="91" t="e">
        <f t="shared" si="12"/>
        <v>#VALUE!</v>
      </c>
      <c r="BB24" s="317" t="s">
        <v>232</v>
      </c>
      <c r="BC24" s="317" t="s">
        <v>232</v>
      </c>
      <c r="BD24" s="317" t="s">
        <v>232</v>
      </c>
      <c r="BE24" s="91" t="e">
        <f t="shared" si="20"/>
        <v>#VALUE!</v>
      </c>
      <c r="BF24" s="317" t="s">
        <v>232</v>
      </c>
      <c r="BG24" s="317" t="s">
        <v>232</v>
      </c>
      <c r="BH24" s="317" t="s">
        <v>232</v>
      </c>
      <c r="BI24" s="317" t="s">
        <v>232</v>
      </c>
      <c r="BJ24" s="317" t="s">
        <v>232</v>
      </c>
      <c r="BK24" s="317" t="s">
        <v>232</v>
      </c>
      <c r="BL24" s="91">
        <v>45575</v>
      </c>
      <c r="BM24" s="91">
        <f t="shared" si="10"/>
        <v>46304</v>
      </c>
      <c r="BN24" s="91" t="s">
        <v>232</v>
      </c>
      <c r="BO24" s="91" t="s">
        <v>232</v>
      </c>
      <c r="BP24" s="91" t="s">
        <v>232</v>
      </c>
      <c r="BQ24" s="91" t="s">
        <v>232</v>
      </c>
      <c r="BR24" s="91" t="s">
        <v>232</v>
      </c>
      <c r="BS24" s="91" t="s">
        <v>232</v>
      </c>
      <c r="BT24" s="91" t="s">
        <v>232</v>
      </c>
      <c r="BU24" s="91">
        <v>45583</v>
      </c>
      <c r="BV24" s="91">
        <v>45594</v>
      </c>
      <c r="BW24" s="91">
        <v>45584</v>
      </c>
      <c r="BX24" s="91">
        <v>45584</v>
      </c>
      <c r="BY24" s="91">
        <v>45582</v>
      </c>
      <c r="BZ24" s="91">
        <v>45588</v>
      </c>
      <c r="CA24" s="91">
        <v>45593</v>
      </c>
      <c r="CB24" s="91" t="s">
        <v>232</v>
      </c>
      <c r="CC24" s="91">
        <v>45593</v>
      </c>
      <c r="CD24" s="91">
        <v>45590</v>
      </c>
      <c r="CE24" s="91" t="s">
        <v>232</v>
      </c>
      <c r="CF24" s="91">
        <v>45619</v>
      </c>
      <c r="CG24" s="91">
        <v>45622</v>
      </c>
      <c r="CH24" s="91" t="s">
        <v>232</v>
      </c>
      <c r="CI24" s="91">
        <v>45548</v>
      </c>
      <c r="CJ24" s="91">
        <v>45609</v>
      </c>
      <c r="CK24" s="91" t="s">
        <v>232</v>
      </c>
      <c r="CL24" s="11" t="s">
        <v>232</v>
      </c>
      <c r="CM24" s="91" t="s">
        <v>232</v>
      </c>
      <c r="CN24" s="91">
        <v>45639</v>
      </c>
      <c r="CO24" s="91">
        <v>45701</v>
      </c>
      <c r="CP24" s="91" t="s">
        <v>232</v>
      </c>
      <c r="CQ24" s="10">
        <v>45757</v>
      </c>
      <c r="CR24" s="10" t="s">
        <v>232</v>
      </c>
      <c r="CS24" s="10" t="s">
        <v>232</v>
      </c>
      <c r="CT24" s="10" t="s">
        <v>232</v>
      </c>
      <c r="CU24" s="11" t="s">
        <v>232</v>
      </c>
      <c r="CV24" s="11" t="s">
        <v>232</v>
      </c>
      <c r="CW24" s="11" t="s">
        <v>232</v>
      </c>
      <c r="CX24" s="11"/>
      <c r="CY24" s="11"/>
    </row>
    <row r="25" spans="2:103" ht="50.25" customHeight="1">
      <c r="B25" s="462">
        <v>21</v>
      </c>
      <c r="C25" s="464" t="s">
        <v>87</v>
      </c>
      <c r="D25" s="377" t="s">
        <v>88</v>
      </c>
      <c r="E25" s="377" t="s">
        <v>295</v>
      </c>
      <c r="F25" s="377" t="s">
        <v>296</v>
      </c>
      <c r="G25" s="439" t="s">
        <v>297</v>
      </c>
      <c r="H25" s="319">
        <v>45572</v>
      </c>
      <c r="I25" s="91">
        <f t="shared" si="0"/>
        <v>46301</v>
      </c>
      <c r="J25" s="319">
        <v>45573</v>
      </c>
      <c r="K25" s="91">
        <f t="shared" si="1"/>
        <v>46302</v>
      </c>
      <c r="L25" s="319">
        <v>45574</v>
      </c>
      <c r="M25" s="91">
        <f t="shared" si="2"/>
        <v>46303</v>
      </c>
      <c r="N25" s="91">
        <v>45567</v>
      </c>
      <c r="O25" s="91">
        <f t="shared" si="21"/>
        <v>46296</v>
      </c>
      <c r="P25" s="91">
        <v>45568</v>
      </c>
      <c r="Q25" s="91">
        <f t="shared" si="22"/>
        <v>46297</v>
      </c>
      <c r="R25" s="319">
        <v>45581</v>
      </c>
      <c r="S25" s="91">
        <f t="shared" si="23"/>
        <v>46310</v>
      </c>
      <c r="T25" s="317">
        <v>45825</v>
      </c>
      <c r="U25" s="317">
        <v>46555</v>
      </c>
      <c r="V25" s="319">
        <v>45615</v>
      </c>
      <c r="W25" s="91">
        <f>IF(ISBLANK(V25),"",EDATE(V25,24))-1</f>
        <v>46344</v>
      </c>
      <c r="X25" s="319">
        <v>45604</v>
      </c>
      <c r="Y25" s="91">
        <f>IF(ISBLANK(X25),"",EDATE(X25,24))-1</f>
        <v>46333</v>
      </c>
      <c r="Z25" s="317" t="s">
        <v>232</v>
      </c>
      <c r="AA25" s="317" t="s">
        <v>232</v>
      </c>
      <c r="AB25" s="317" t="s">
        <v>232</v>
      </c>
      <c r="AC25" s="317" t="s">
        <v>232</v>
      </c>
      <c r="AD25" s="319">
        <v>45795</v>
      </c>
      <c r="AE25" s="91">
        <f>IF(ISBLANK(AD25),"",EDATE(AD25,24))-1</f>
        <v>46524</v>
      </c>
      <c r="AF25" s="319">
        <v>45569</v>
      </c>
      <c r="AG25" s="91">
        <f>IF(ISBLANK(AF25),"",EDATE(AF25,24))-1</f>
        <v>46298</v>
      </c>
      <c r="AH25" s="91">
        <v>45577</v>
      </c>
      <c r="AI25" s="91">
        <f>IF(ISBLANK(AH25),"",EDATE(AH25,24))-1</f>
        <v>46306</v>
      </c>
      <c r="AJ25" s="91">
        <v>45579</v>
      </c>
      <c r="AK25" s="91">
        <f t="shared" ref="AK25:AK59" si="24">IF(ISBLANK(AJ25),"",EDATE(AJ25,24))-1</f>
        <v>46308</v>
      </c>
      <c r="AL25" s="319">
        <v>45748</v>
      </c>
      <c r="AM25" s="91">
        <f>IF(ISBLANK(AL25),"",EDATE(AL25,12))-1</f>
        <v>46112</v>
      </c>
      <c r="AN25" s="91">
        <v>45560</v>
      </c>
      <c r="AO25" s="91">
        <f t="shared" si="6"/>
        <v>46289</v>
      </c>
      <c r="AP25" s="91">
        <v>45709</v>
      </c>
      <c r="AQ25" s="91">
        <f t="shared" si="7"/>
        <v>46438</v>
      </c>
      <c r="AR25" s="91">
        <v>45784</v>
      </c>
      <c r="AS25" s="91">
        <f t="shared" si="8"/>
        <v>46513</v>
      </c>
      <c r="AT25" s="91">
        <v>45782</v>
      </c>
      <c r="AU25" s="91">
        <f>IF(ISBLANK(AT25),"",EDATE(AT25,24))-1</f>
        <v>46511</v>
      </c>
      <c r="AV25" s="91">
        <v>45782</v>
      </c>
      <c r="AW25" s="91">
        <f t="shared" si="9"/>
        <v>46511</v>
      </c>
      <c r="AX25" s="317" t="s">
        <v>232</v>
      </c>
      <c r="AY25" s="91" t="e">
        <f t="shared" si="11"/>
        <v>#VALUE!</v>
      </c>
      <c r="AZ25" s="317" t="s">
        <v>232</v>
      </c>
      <c r="BA25" s="91" t="e">
        <f t="shared" si="12"/>
        <v>#VALUE!</v>
      </c>
      <c r="BB25" s="317" t="s">
        <v>232</v>
      </c>
      <c r="BC25" s="317" t="s">
        <v>232</v>
      </c>
      <c r="BD25" s="317" t="s">
        <v>232</v>
      </c>
      <c r="BE25" s="91" t="e">
        <f t="shared" si="20"/>
        <v>#VALUE!</v>
      </c>
      <c r="BF25" s="317" t="s">
        <v>232</v>
      </c>
      <c r="BG25" s="317" t="s">
        <v>232</v>
      </c>
      <c r="BH25" s="317" t="s">
        <v>232</v>
      </c>
      <c r="BI25" s="317" t="s">
        <v>232</v>
      </c>
      <c r="BJ25" s="317" t="s">
        <v>232</v>
      </c>
      <c r="BK25" s="317" t="s">
        <v>232</v>
      </c>
      <c r="BL25" s="91">
        <v>45575</v>
      </c>
      <c r="BM25" s="91">
        <f t="shared" si="10"/>
        <v>46304</v>
      </c>
      <c r="BN25" s="91" t="s">
        <v>232</v>
      </c>
      <c r="BO25" s="91" t="s">
        <v>232</v>
      </c>
      <c r="BP25" s="91" t="s">
        <v>232</v>
      </c>
      <c r="BQ25" s="91" t="s">
        <v>232</v>
      </c>
      <c r="BR25" s="91" t="s">
        <v>232</v>
      </c>
      <c r="BS25" s="91" t="s">
        <v>232</v>
      </c>
      <c r="BT25" s="91" t="s">
        <v>232</v>
      </c>
      <c r="BU25" s="91">
        <v>45583</v>
      </c>
      <c r="BV25" s="91">
        <v>45594</v>
      </c>
      <c r="BW25" s="91">
        <v>45584</v>
      </c>
      <c r="BX25" s="91">
        <v>45584</v>
      </c>
      <c r="BY25" s="91">
        <v>45582</v>
      </c>
      <c r="BZ25" s="91">
        <v>45588</v>
      </c>
      <c r="CA25" s="91">
        <v>45593</v>
      </c>
      <c r="CB25" s="91" t="s">
        <v>232</v>
      </c>
      <c r="CC25" s="91">
        <v>45593</v>
      </c>
      <c r="CD25" s="91">
        <v>45590</v>
      </c>
      <c r="CE25" s="91">
        <v>45595</v>
      </c>
      <c r="CF25" s="91">
        <v>45619</v>
      </c>
      <c r="CG25" s="91">
        <v>45622</v>
      </c>
      <c r="CH25" s="91">
        <v>45627</v>
      </c>
      <c r="CI25" s="91">
        <v>45602</v>
      </c>
      <c r="CJ25" s="91">
        <v>45609</v>
      </c>
      <c r="CK25" s="91" t="s">
        <v>232</v>
      </c>
      <c r="CL25" s="11" t="s">
        <v>232</v>
      </c>
      <c r="CM25" s="91" t="s">
        <v>232</v>
      </c>
      <c r="CN25" s="91">
        <v>45639</v>
      </c>
      <c r="CO25" s="91">
        <v>45699</v>
      </c>
      <c r="CP25" s="91" t="s">
        <v>232</v>
      </c>
      <c r="CQ25" s="10">
        <v>45746</v>
      </c>
      <c r="CR25" s="10" t="s">
        <v>232</v>
      </c>
      <c r="CS25" s="10" t="s">
        <v>232</v>
      </c>
      <c r="CT25" s="10" t="s">
        <v>232</v>
      </c>
      <c r="CU25" s="11" t="s">
        <v>232</v>
      </c>
      <c r="CV25" s="11" t="s">
        <v>232</v>
      </c>
      <c r="CW25" s="11" t="s">
        <v>232</v>
      </c>
      <c r="CX25" s="11"/>
      <c r="CY25" s="11"/>
    </row>
    <row r="26" spans="2:103" ht="50.25" customHeight="1">
      <c r="B26" s="462">
        <v>22</v>
      </c>
      <c r="C26" s="464" t="s">
        <v>90</v>
      </c>
      <c r="D26" s="377" t="s">
        <v>91</v>
      </c>
      <c r="E26" s="377" t="s">
        <v>298</v>
      </c>
      <c r="F26" s="377" t="s">
        <v>296</v>
      </c>
      <c r="G26" s="439" t="s">
        <v>297</v>
      </c>
      <c r="H26" s="319">
        <v>45572</v>
      </c>
      <c r="I26" s="91">
        <f t="shared" si="0"/>
        <v>46301</v>
      </c>
      <c r="J26" s="319">
        <v>45573</v>
      </c>
      <c r="K26" s="91">
        <f t="shared" si="1"/>
        <v>46302</v>
      </c>
      <c r="L26" s="319">
        <v>45574</v>
      </c>
      <c r="M26" s="91">
        <f t="shared" si="2"/>
        <v>46303</v>
      </c>
      <c r="N26" s="91">
        <v>45567</v>
      </c>
      <c r="O26" s="91">
        <f t="shared" si="21"/>
        <v>46296</v>
      </c>
      <c r="P26" s="91">
        <v>45568</v>
      </c>
      <c r="Q26" s="91">
        <f t="shared" si="22"/>
        <v>46297</v>
      </c>
      <c r="R26" s="319">
        <v>45581</v>
      </c>
      <c r="S26" s="91">
        <f t="shared" si="23"/>
        <v>46310</v>
      </c>
      <c r="T26" s="91">
        <v>45611</v>
      </c>
      <c r="U26" s="91">
        <f>IF(ISBLANK(T26),"",EDATE(T26,24))-1</f>
        <v>46340</v>
      </c>
      <c r="V26" s="317" t="s">
        <v>232</v>
      </c>
      <c r="W26" s="317" t="s">
        <v>232</v>
      </c>
      <c r="X26" s="317" t="s">
        <v>232</v>
      </c>
      <c r="Y26" s="317" t="s">
        <v>232</v>
      </c>
      <c r="Z26" s="319">
        <v>45779</v>
      </c>
      <c r="AA26" s="91">
        <f>IF(ISBLANK(Z26),"",EDATE(Z26,24))-1</f>
        <v>46508</v>
      </c>
      <c r="AB26" s="317" t="s">
        <v>232</v>
      </c>
      <c r="AC26" s="317" t="s">
        <v>232</v>
      </c>
      <c r="AD26" s="319">
        <v>45795</v>
      </c>
      <c r="AE26" s="91">
        <f>IF(ISBLANK(AD26),"",EDATE(AD26,24))-1</f>
        <v>46524</v>
      </c>
      <c r="AF26" s="319">
        <v>45569</v>
      </c>
      <c r="AG26" s="91">
        <f>IF(ISBLANK(AF26),"",EDATE(AF26,24))-1</f>
        <v>46298</v>
      </c>
      <c r="AH26" s="91">
        <v>45577</v>
      </c>
      <c r="AI26" s="91">
        <f>IF(ISBLANK(AH26),"",EDATE(AH26,24))-1</f>
        <v>46306</v>
      </c>
      <c r="AJ26" s="91">
        <v>45579</v>
      </c>
      <c r="AK26" s="91">
        <f t="shared" si="24"/>
        <v>46308</v>
      </c>
      <c r="AL26" s="319">
        <v>45748</v>
      </c>
      <c r="AM26" s="91">
        <f>IF(ISBLANK(AL26),"",EDATE(AL26,12))-1</f>
        <v>46112</v>
      </c>
      <c r="AN26" s="91">
        <v>45560</v>
      </c>
      <c r="AO26" s="91">
        <f t="shared" si="6"/>
        <v>46289</v>
      </c>
      <c r="AP26" s="91">
        <v>45709</v>
      </c>
      <c r="AQ26" s="91">
        <f t="shared" si="7"/>
        <v>46438</v>
      </c>
      <c r="AR26" s="91">
        <v>45784</v>
      </c>
      <c r="AS26" s="91">
        <f t="shared" si="8"/>
        <v>46513</v>
      </c>
      <c r="AT26" s="91">
        <v>45782</v>
      </c>
      <c r="AU26" s="91">
        <f>IF(ISBLANK(AT26),"",EDATE(AT26,24))-1</f>
        <v>46511</v>
      </c>
      <c r="AV26" s="317" t="s">
        <v>232</v>
      </c>
      <c r="AW26" s="91" t="e">
        <f t="shared" si="9"/>
        <v>#VALUE!</v>
      </c>
      <c r="AX26" s="317" t="s">
        <v>232</v>
      </c>
      <c r="AY26" s="91" t="e">
        <f t="shared" si="11"/>
        <v>#VALUE!</v>
      </c>
      <c r="AZ26" s="317" t="s">
        <v>232</v>
      </c>
      <c r="BA26" s="91" t="e">
        <f t="shared" si="12"/>
        <v>#VALUE!</v>
      </c>
      <c r="BB26" s="317" t="s">
        <v>232</v>
      </c>
      <c r="BC26" s="317" t="s">
        <v>232</v>
      </c>
      <c r="BD26" s="317" t="s">
        <v>232</v>
      </c>
      <c r="BE26" s="91" t="e">
        <f t="shared" si="20"/>
        <v>#VALUE!</v>
      </c>
      <c r="BF26" s="317" t="s">
        <v>232</v>
      </c>
      <c r="BG26" s="317" t="s">
        <v>232</v>
      </c>
      <c r="BH26" s="317" t="s">
        <v>232</v>
      </c>
      <c r="BI26" s="317" t="s">
        <v>232</v>
      </c>
      <c r="BJ26" s="317" t="s">
        <v>232</v>
      </c>
      <c r="BK26" s="317" t="s">
        <v>232</v>
      </c>
      <c r="BL26" s="91">
        <v>45575</v>
      </c>
      <c r="BM26" s="91">
        <f t="shared" si="10"/>
        <v>46304</v>
      </c>
      <c r="BN26" s="91" t="s">
        <v>232</v>
      </c>
      <c r="BO26" s="91" t="s">
        <v>232</v>
      </c>
      <c r="BP26" s="91" t="s">
        <v>232</v>
      </c>
      <c r="BQ26" s="91" t="s">
        <v>232</v>
      </c>
      <c r="BR26" s="91" t="s">
        <v>232</v>
      </c>
      <c r="BS26" s="91" t="s">
        <v>232</v>
      </c>
      <c r="BT26" s="91" t="s">
        <v>232</v>
      </c>
      <c r="BU26" s="91">
        <v>45583</v>
      </c>
      <c r="BV26" s="91">
        <v>45594</v>
      </c>
      <c r="BW26" s="91">
        <v>45584</v>
      </c>
      <c r="BX26" s="91">
        <v>45584</v>
      </c>
      <c r="BY26" s="91">
        <v>45582</v>
      </c>
      <c r="BZ26" s="91">
        <v>45588</v>
      </c>
      <c r="CA26" s="91">
        <v>45593</v>
      </c>
      <c r="CB26" s="91" t="s">
        <v>232</v>
      </c>
      <c r="CC26" s="91">
        <v>45593</v>
      </c>
      <c r="CD26" s="91">
        <v>45590</v>
      </c>
      <c r="CE26" s="91">
        <v>45595</v>
      </c>
      <c r="CF26" s="91">
        <v>45619</v>
      </c>
      <c r="CG26" s="91">
        <v>45622</v>
      </c>
      <c r="CH26" s="91">
        <v>45627</v>
      </c>
      <c r="CI26" s="91">
        <v>45602</v>
      </c>
      <c r="CJ26" s="91">
        <v>45609</v>
      </c>
      <c r="CK26" s="91" t="s">
        <v>232</v>
      </c>
      <c r="CL26" s="11" t="s">
        <v>232</v>
      </c>
      <c r="CM26" s="91" t="s">
        <v>232</v>
      </c>
      <c r="CN26" s="91">
        <v>45639</v>
      </c>
      <c r="CO26" s="91">
        <v>45700</v>
      </c>
      <c r="CP26" s="91" t="s">
        <v>232</v>
      </c>
      <c r="CQ26" s="10">
        <v>45743</v>
      </c>
      <c r="CR26" s="10" t="s">
        <v>232</v>
      </c>
      <c r="CS26" s="10" t="s">
        <v>232</v>
      </c>
      <c r="CT26" s="10" t="s">
        <v>232</v>
      </c>
      <c r="CU26" s="11">
        <v>46070</v>
      </c>
      <c r="CV26" s="11" t="s">
        <v>232</v>
      </c>
      <c r="CW26" s="11" t="s">
        <v>232</v>
      </c>
      <c r="CX26" s="11"/>
      <c r="CY26" s="10">
        <v>46017</v>
      </c>
    </row>
    <row r="27" spans="2:103" ht="73.5" customHeight="1">
      <c r="B27" s="462">
        <v>23</v>
      </c>
      <c r="C27" s="464" t="s">
        <v>299</v>
      </c>
      <c r="D27" s="377" t="s">
        <v>300</v>
      </c>
      <c r="E27" s="377" t="s">
        <v>301</v>
      </c>
      <c r="F27" s="377" t="s">
        <v>253</v>
      </c>
      <c r="G27" s="440" t="s">
        <v>232</v>
      </c>
      <c r="H27" s="319">
        <v>45572</v>
      </c>
      <c r="I27" s="91">
        <f t="shared" si="0"/>
        <v>46301</v>
      </c>
      <c r="J27" s="319">
        <v>45573</v>
      </c>
      <c r="K27" s="91">
        <f t="shared" si="1"/>
        <v>46302</v>
      </c>
      <c r="L27" s="319">
        <v>45574</v>
      </c>
      <c r="M27" s="91">
        <f t="shared" si="2"/>
        <v>46303</v>
      </c>
      <c r="N27" s="91">
        <v>45567</v>
      </c>
      <c r="O27" s="91">
        <f t="shared" si="21"/>
        <v>46296</v>
      </c>
      <c r="P27" s="91">
        <v>45568</v>
      </c>
      <c r="Q27" s="91">
        <f t="shared" si="22"/>
        <v>46297</v>
      </c>
      <c r="R27" s="319">
        <v>45581</v>
      </c>
      <c r="S27" s="91">
        <f t="shared" si="23"/>
        <v>46310</v>
      </c>
      <c r="T27" s="91">
        <v>45611</v>
      </c>
      <c r="U27" s="91">
        <f>IF(ISBLANK(T27),"",EDATE(T27,24))-1</f>
        <v>46340</v>
      </c>
      <c r="V27" s="319">
        <v>45615</v>
      </c>
      <c r="W27" s="91">
        <f>IF(ISBLANK(V27),"",EDATE(V27,24))-1</f>
        <v>46344</v>
      </c>
      <c r="X27" s="319">
        <v>45604</v>
      </c>
      <c r="Y27" s="91">
        <f>IF(ISBLANK(X27),"",EDATE(X27,24))-1</f>
        <v>46333</v>
      </c>
      <c r="Z27" s="319">
        <v>45779</v>
      </c>
      <c r="AA27" s="91">
        <f>IF(ISBLANK(Z27),"",EDATE(Z27,24))-1</f>
        <v>46508</v>
      </c>
      <c r="AB27" s="317" t="s">
        <v>232</v>
      </c>
      <c r="AC27" s="317" t="s">
        <v>232</v>
      </c>
      <c r="AD27" s="319">
        <v>45795</v>
      </c>
      <c r="AE27" s="91">
        <f>IF(ISBLANK(AD27),"",EDATE(AD27,24))-1</f>
        <v>46524</v>
      </c>
      <c r="AF27" s="319">
        <v>45569</v>
      </c>
      <c r="AG27" s="91">
        <f>IF(ISBLANK(AF27),"",EDATE(AF27,24))</f>
        <v>46299</v>
      </c>
      <c r="AH27" s="91">
        <v>45577</v>
      </c>
      <c r="AI27" s="91">
        <f>IF(ISBLANK(AH27),"",EDATE(AH27,24))</f>
        <v>46307</v>
      </c>
      <c r="AJ27" s="91">
        <v>45579</v>
      </c>
      <c r="AK27" s="91">
        <f t="shared" si="24"/>
        <v>46308</v>
      </c>
      <c r="AL27" s="319">
        <v>45748</v>
      </c>
      <c r="AM27" s="91">
        <f>IF(ISBLANK(AL27),"",EDATE(AL27,24))</f>
        <v>46478</v>
      </c>
      <c r="AN27" s="91">
        <v>45560</v>
      </c>
      <c r="AO27" s="91">
        <f t="shared" si="6"/>
        <v>46289</v>
      </c>
      <c r="AP27" s="91">
        <v>45709</v>
      </c>
      <c r="AQ27" s="91">
        <f t="shared" si="7"/>
        <v>46438</v>
      </c>
      <c r="AR27" s="91">
        <v>45784</v>
      </c>
      <c r="AS27" s="91">
        <f t="shared" si="8"/>
        <v>46513</v>
      </c>
      <c r="AT27" s="317" t="s">
        <v>232</v>
      </c>
      <c r="AU27" s="317" t="s">
        <v>232</v>
      </c>
      <c r="AV27" s="317" t="s">
        <v>232</v>
      </c>
      <c r="AW27" s="91" t="e">
        <f t="shared" si="9"/>
        <v>#VALUE!</v>
      </c>
      <c r="AX27" s="317" t="s">
        <v>232</v>
      </c>
      <c r="AY27" s="91" t="e">
        <f t="shared" si="11"/>
        <v>#VALUE!</v>
      </c>
      <c r="AZ27" s="317" t="s">
        <v>232</v>
      </c>
      <c r="BA27" s="91" t="e">
        <f t="shared" si="12"/>
        <v>#VALUE!</v>
      </c>
      <c r="BB27" s="317" t="s">
        <v>232</v>
      </c>
      <c r="BC27" s="317" t="s">
        <v>232</v>
      </c>
      <c r="BD27" s="317" t="s">
        <v>232</v>
      </c>
      <c r="BE27" s="91" t="e">
        <f t="shared" si="20"/>
        <v>#VALUE!</v>
      </c>
      <c r="BF27" s="317" t="s">
        <v>232</v>
      </c>
      <c r="BG27" s="317" t="s">
        <v>232</v>
      </c>
      <c r="BH27" s="317" t="s">
        <v>232</v>
      </c>
      <c r="BI27" s="317" t="s">
        <v>232</v>
      </c>
      <c r="BJ27" s="317" t="s">
        <v>232</v>
      </c>
      <c r="BK27" s="317" t="s">
        <v>232</v>
      </c>
      <c r="BL27" s="91">
        <v>45575</v>
      </c>
      <c r="BM27" s="91">
        <f t="shared" si="10"/>
        <v>46304</v>
      </c>
      <c r="BN27" s="91" t="s">
        <v>232</v>
      </c>
      <c r="BO27" s="91" t="s">
        <v>232</v>
      </c>
      <c r="BP27" s="91" t="s">
        <v>232</v>
      </c>
      <c r="BQ27" s="91" t="s">
        <v>232</v>
      </c>
      <c r="BR27" s="91" t="s">
        <v>232</v>
      </c>
      <c r="BS27" s="91" t="s">
        <v>232</v>
      </c>
      <c r="BT27" s="91" t="s">
        <v>232</v>
      </c>
      <c r="BU27" s="91">
        <v>45583</v>
      </c>
      <c r="BV27" s="91">
        <v>45594</v>
      </c>
      <c r="BW27" s="91">
        <v>45584</v>
      </c>
      <c r="BX27" s="91">
        <v>45584</v>
      </c>
      <c r="BY27" s="91">
        <v>45582</v>
      </c>
      <c r="BZ27" s="91">
        <v>45588</v>
      </c>
      <c r="CA27" s="91">
        <v>45593</v>
      </c>
      <c r="CB27" s="91" t="s">
        <v>232</v>
      </c>
      <c r="CC27" s="91">
        <v>45593</v>
      </c>
      <c r="CD27" s="91">
        <v>45590</v>
      </c>
      <c r="CE27" s="91" t="s">
        <v>232</v>
      </c>
      <c r="CF27" s="91">
        <v>45619</v>
      </c>
      <c r="CG27" s="91">
        <v>45622</v>
      </c>
      <c r="CH27" s="91">
        <v>45627</v>
      </c>
      <c r="CI27" s="91">
        <v>45602</v>
      </c>
      <c r="CJ27" s="91">
        <v>45609</v>
      </c>
      <c r="CK27" s="91" t="s">
        <v>232</v>
      </c>
      <c r="CL27" s="11" t="s">
        <v>232</v>
      </c>
      <c r="CM27" s="91" t="s">
        <v>232</v>
      </c>
      <c r="CN27" s="91">
        <v>45639</v>
      </c>
      <c r="CO27" s="91">
        <v>45699</v>
      </c>
      <c r="CP27" s="91" t="s">
        <v>232</v>
      </c>
      <c r="CQ27" s="10">
        <v>45743</v>
      </c>
      <c r="CR27" s="10" t="s">
        <v>232</v>
      </c>
      <c r="CS27" s="10" t="s">
        <v>232</v>
      </c>
      <c r="CT27" s="10" t="s">
        <v>232</v>
      </c>
      <c r="CU27" s="11" t="s">
        <v>232</v>
      </c>
      <c r="CV27" s="11" t="s">
        <v>232</v>
      </c>
      <c r="CW27" s="11" t="s">
        <v>232</v>
      </c>
      <c r="CX27" s="11"/>
      <c r="CY27" s="11"/>
    </row>
    <row r="28" spans="2:103" ht="87.75" customHeight="1">
      <c r="B28" s="462">
        <v>24</v>
      </c>
      <c r="C28" s="464" t="s">
        <v>302</v>
      </c>
      <c r="D28" s="377" t="s">
        <v>303</v>
      </c>
      <c r="E28" s="377" t="s">
        <v>304</v>
      </c>
      <c r="F28" s="377" t="s">
        <v>305</v>
      </c>
      <c r="G28" s="442" t="s">
        <v>306</v>
      </c>
      <c r="H28" s="319">
        <v>45572</v>
      </c>
      <c r="I28" s="91">
        <f t="shared" si="0"/>
        <v>46301</v>
      </c>
      <c r="J28" s="319">
        <v>45573</v>
      </c>
      <c r="K28" s="91">
        <f t="shared" si="1"/>
        <v>46302</v>
      </c>
      <c r="L28" s="319">
        <v>45574</v>
      </c>
      <c r="M28" s="91">
        <f t="shared" si="2"/>
        <v>46303</v>
      </c>
      <c r="N28" s="91">
        <v>45567</v>
      </c>
      <c r="O28" s="91">
        <f t="shared" si="21"/>
        <v>46296</v>
      </c>
      <c r="P28" s="91">
        <v>45568</v>
      </c>
      <c r="Q28" s="91">
        <f t="shared" si="22"/>
        <v>46297</v>
      </c>
      <c r="R28" s="319">
        <v>45581</v>
      </c>
      <c r="S28" s="91">
        <f t="shared" si="23"/>
        <v>46310</v>
      </c>
      <c r="T28" s="317" t="s">
        <v>231</v>
      </c>
      <c r="U28" s="317" t="s">
        <v>231</v>
      </c>
      <c r="V28" s="91">
        <v>45695</v>
      </c>
      <c r="W28" s="91">
        <f>IF(ISBLANK(V28),"",EDATE(V28,24))-1</f>
        <v>46424</v>
      </c>
      <c r="X28" s="319">
        <v>45604</v>
      </c>
      <c r="Y28" s="91">
        <f>IF(ISBLANK(X28),"",EDATE(X28,24))-1</f>
        <v>46333</v>
      </c>
      <c r="Z28" s="317" t="s">
        <v>232</v>
      </c>
      <c r="AA28" s="317" t="s">
        <v>232</v>
      </c>
      <c r="AB28" s="317" t="s">
        <v>232</v>
      </c>
      <c r="AC28" s="317" t="s">
        <v>232</v>
      </c>
      <c r="AD28" s="319">
        <v>45795</v>
      </c>
      <c r="AE28" s="91">
        <f>IF(ISBLANK(AD28),"",EDATE(AD28,24))-1</f>
        <v>46524</v>
      </c>
      <c r="AF28" s="319">
        <v>45569</v>
      </c>
      <c r="AG28" s="91">
        <f>IF(ISBLANK(AF28),"",EDATE(AF28,24))-1</f>
        <v>46298</v>
      </c>
      <c r="AH28" s="91">
        <v>45577</v>
      </c>
      <c r="AI28" s="91">
        <f t="shared" ref="AI28:AI59" si="25">IF(ISBLANK(AH28),"",EDATE(AH28,24))-1</f>
        <v>46306</v>
      </c>
      <c r="AJ28" s="91">
        <v>45579</v>
      </c>
      <c r="AK28" s="91">
        <f t="shared" si="24"/>
        <v>46308</v>
      </c>
      <c r="AL28" s="319">
        <v>45748</v>
      </c>
      <c r="AM28" s="91">
        <f>IF(ISBLANK(AL28),"",EDATE(AL28,24))</f>
        <v>46478</v>
      </c>
      <c r="AN28" s="91">
        <v>45560</v>
      </c>
      <c r="AO28" s="91">
        <f t="shared" si="6"/>
        <v>46289</v>
      </c>
      <c r="AP28" s="91">
        <v>45709</v>
      </c>
      <c r="AQ28" s="91">
        <f t="shared" si="7"/>
        <v>46438</v>
      </c>
      <c r="AR28" s="91">
        <v>45784</v>
      </c>
      <c r="AS28" s="91">
        <f t="shared" si="8"/>
        <v>46513</v>
      </c>
      <c r="AT28" s="317" t="s">
        <v>232</v>
      </c>
      <c r="AU28" s="317" t="s">
        <v>232</v>
      </c>
      <c r="AV28" s="317" t="s">
        <v>232</v>
      </c>
      <c r="AW28" s="91" t="e">
        <f t="shared" si="9"/>
        <v>#VALUE!</v>
      </c>
      <c r="AX28" s="91">
        <v>45781</v>
      </c>
      <c r="AY28" s="91">
        <f t="shared" si="11"/>
        <v>46510</v>
      </c>
      <c r="AZ28" s="317">
        <v>45812</v>
      </c>
      <c r="BA28" s="91">
        <f t="shared" si="12"/>
        <v>46541</v>
      </c>
      <c r="BB28" s="91">
        <v>45821</v>
      </c>
      <c r="BC28" s="91">
        <f>IF(ISBLANK(BB28),"",EDATE(BB28,24))-1</f>
        <v>46550</v>
      </c>
      <c r="BD28" s="317" t="s">
        <v>232</v>
      </c>
      <c r="BE28" s="91" t="e">
        <f t="shared" si="20"/>
        <v>#VALUE!</v>
      </c>
      <c r="BF28" s="317" t="s">
        <v>232</v>
      </c>
      <c r="BG28" s="317" t="s">
        <v>232</v>
      </c>
      <c r="BH28" s="317" t="s">
        <v>232</v>
      </c>
      <c r="BI28" s="317" t="s">
        <v>232</v>
      </c>
      <c r="BJ28" s="317" t="s">
        <v>232</v>
      </c>
      <c r="BK28" s="317" t="s">
        <v>232</v>
      </c>
      <c r="BL28" s="91">
        <v>45575</v>
      </c>
      <c r="BM28" s="91">
        <f t="shared" si="10"/>
        <v>46304</v>
      </c>
      <c r="BN28" s="91" t="s">
        <v>232</v>
      </c>
      <c r="BO28" s="91" t="s">
        <v>232</v>
      </c>
      <c r="BP28" s="91" t="s">
        <v>232</v>
      </c>
      <c r="BQ28" s="91" t="s">
        <v>232</v>
      </c>
      <c r="BR28" s="91" t="s">
        <v>232</v>
      </c>
      <c r="BS28" s="91" t="s">
        <v>232</v>
      </c>
      <c r="BT28" s="91" t="s">
        <v>232</v>
      </c>
      <c r="BU28" s="91">
        <v>45583</v>
      </c>
      <c r="BV28" s="91">
        <v>45594</v>
      </c>
      <c r="BW28" s="91">
        <v>45584</v>
      </c>
      <c r="BX28" s="91">
        <v>45584</v>
      </c>
      <c r="BY28" s="91">
        <v>45582</v>
      </c>
      <c r="BZ28" s="91">
        <v>45588</v>
      </c>
      <c r="CA28" s="91">
        <v>45593</v>
      </c>
      <c r="CB28" s="91">
        <v>45790</v>
      </c>
      <c r="CC28" s="91">
        <v>45593</v>
      </c>
      <c r="CD28" s="91">
        <v>45590</v>
      </c>
      <c r="CE28" s="91" t="s">
        <v>232</v>
      </c>
      <c r="CF28" s="91">
        <v>45619</v>
      </c>
      <c r="CG28" s="91">
        <v>45622</v>
      </c>
      <c r="CH28" s="91">
        <v>45627</v>
      </c>
      <c r="CI28" s="91">
        <v>45602</v>
      </c>
      <c r="CJ28" s="91">
        <v>45609</v>
      </c>
      <c r="CK28" s="91" t="s">
        <v>232</v>
      </c>
      <c r="CL28" s="11" t="s">
        <v>232</v>
      </c>
      <c r="CM28" s="91" t="s">
        <v>232</v>
      </c>
      <c r="CN28" s="91">
        <v>45639</v>
      </c>
      <c r="CO28" s="91">
        <v>45699</v>
      </c>
      <c r="CP28" s="91" t="s">
        <v>232</v>
      </c>
      <c r="CQ28" s="10">
        <v>45746</v>
      </c>
      <c r="CR28" s="10" t="s">
        <v>232</v>
      </c>
      <c r="CS28" s="10" t="s">
        <v>232</v>
      </c>
      <c r="CT28" s="10" t="s">
        <v>232</v>
      </c>
      <c r="CU28" s="10">
        <v>45931</v>
      </c>
      <c r="CV28" s="11" t="s">
        <v>232</v>
      </c>
      <c r="CW28" s="11" t="s">
        <v>232</v>
      </c>
      <c r="CX28" s="10">
        <v>45951</v>
      </c>
      <c r="CY28" s="10">
        <v>46017</v>
      </c>
    </row>
    <row r="29" spans="2:103" ht="79.5" customHeight="1">
      <c r="B29" s="462">
        <v>25</v>
      </c>
      <c r="C29" s="464" t="s">
        <v>307</v>
      </c>
      <c r="D29" s="377" t="s">
        <v>308</v>
      </c>
      <c r="E29" s="377" t="s">
        <v>309</v>
      </c>
      <c r="F29" s="377" t="s">
        <v>310</v>
      </c>
      <c r="G29" s="440" t="s">
        <v>311</v>
      </c>
      <c r="H29" s="319">
        <v>45572</v>
      </c>
      <c r="I29" s="91">
        <f t="shared" si="0"/>
        <v>46301</v>
      </c>
      <c r="J29" s="319">
        <v>45573</v>
      </c>
      <c r="K29" s="91">
        <f t="shared" si="1"/>
        <v>46302</v>
      </c>
      <c r="L29" s="319">
        <v>45574</v>
      </c>
      <c r="M29" s="91">
        <f t="shared" si="2"/>
        <v>46303</v>
      </c>
      <c r="N29" s="91">
        <v>45567</v>
      </c>
      <c r="O29" s="91">
        <f t="shared" si="21"/>
        <v>46296</v>
      </c>
      <c r="P29" s="91">
        <v>45568</v>
      </c>
      <c r="Q29" s="91">
        <f t="shared" si="22"/>
        <v>46297</v>
      </c>
      <c r="R29" s="319">
        <v>45581</v>
      </c>
      <c r="S29" s="91">
        <f t="shared" si="23"/>
        <v>46310</v>
      </c>
      <c r="T29" s="317" t="s">
        <v>231</v>
      </c>
      <c r="U29" s="317" t="s">
        <v>231</v>
      </c>
      <c r="V29" s="319">
        <v>45615</v>
      </c>
      <c r="W29" s="91">
        <f>IF(ISBLANK(V29),"",EDATE(V29,24))-1</f>
        <v>46344</v>
      </c>
      <c r="X29" s="319">
        <v>45604</v>
      </c>
      <c r="Y29" s="91">
        <f>IF(ISBLANK(X29),"",EDATE(X29,24))-1</f>
        <v>46333</v>
      </c>
      <c r="Z29" s="319">
        <v>45779</v>
      </c>
      <c r="AA29" s="91">
        <f>IF(ISBLANK(Z29),"",EDATE(Z29,24))-1</f>
        <v>46508</v>
      </c>
      <c r="AB29" s="317" t="s">
        <v>232</v>
      </c>
      <c r="AC29" s="317" t="s">
        <v>232</v>
      </c>
      <c r="AD29" s="319">
        <v>45795</v>
      </c>
      <c r="AE29" s="91">
        <f>IF(ISBLANK(AD29),"",EDATE(AD29,24))-1</f>
        <v>46524</v>
      </c>
      <c r="AF29" s="319">
        <v>45569</v>
      </c>
      <c r="AG29" s="91">
        <f>IF(ISBLANK(AF29),"",EDATE(AF29,24))-1</f>
        <v>46298</v>
      </c>
      <c r="AH29" s="91">
        <v>45577</v>
      </c>
      <c r="AI29" s="91">
        <f t="shared" si="25"/>
        <v>46306</v>
      </c>
      <c r="AJ29" s="91">
        <v>45579</v>
      </c>
      <c r="AK29" s="91">
        <f t="shared" si="24"/>
        <v>46308</v>
      </c>
      <c r="AL29" s="319">
        <v>45748</v>
      </c>
      <c r="AM29" s="91">
        <f>IF(ISBLANK(AL29),"",EDATE(AL29,24))</f>
        <v>46478</v>
      </c>
      <c r="AN29" s="91">
        <v>45560</v>
      </c>
      <c r="AO29" s="91">
        <f t="shared" si="6"/>
        <v>46289</v>
      </c>
      <c r="AP29" s="91">
        <v>45709</v>
      </c>
      <c r="AQ29" s="91">
        <f t="shared" si="7"/>
        <v>46438</v>
      </c>
      <c r="AR29" s="91">
        <v>45784</v>
      </c>
      <c r="AS29" s="91">
        <f t="shared" si="8"/>
        <v>46513</v>
      </c>
      <c r="AT29" s="317" t="s">
        <v>232</v>
      </c>
      <c r="AU29" s="317" t="s">
        <v>232</v>
      </c>
      <c r="AV29" s="317" t="s">
        <v>232</v>
      </c>
      <c r="AW29" s="91" t="e">
        <f t="shared" si="9"/>
        <v>#VALUE!</v>
      </c>
      <c r="AX29" s="91">
        <v>45781</v>
      </c>
      <c r="AY29" s="91">
        <f t="shared" si="11"/>
        <v>46510</v>
      </c>
      <c r="AZ29" s="317">
        <v>45812</v>
      </c>
      <c r="BA29" s="91">
        <f t="shared" si="12"/>
        <v>46541</v>
      </c>
      <c r="BB29" s="317" t="s">
        <v>232</v>
      </c>
      <c r="BC29" s="317" t="s">
        <v>232</v>
      </c>
      <c r="BD29" s="317" t="s">
        <v>232</v>
      </c>
      <c r="BE29" s="91" t="e">
        <f t="shared" si="20"/>
        <v>#VALUE!</v>
      </c>
      <c r="BF29" s="317" t="s">
        <v>232</v>
      </c>
      <c r="BG29" s="317" t="s">
        <v>232</v>
      </c>
      <c r="BH29" s="317" t="s">
        <v>232</v>
      </c>
      <c r="BI29" s="317" t="s">
        <v>232</v>
      </c>
      <c r="BJ29" s="317" t="s">
        <v>232</v>
      </c>
      <c r="BK29" s="317" t="s">
        <v>232</v>
      </c>
      <c r="BL29" s="91">
        <v>45575</v>
      </c>
      <c r="BM29" s="91">
        <f t="shared" si="10"/>
        <v>46304</v>
      </c>
      <c r="BN29" s="91" t="s">
        <v>232</v>
      </c>
      <c r="BO29" s="91" t="s">
        <v>232</v>
      </c>
      <c r="BP29" s="91" t="s">
        <v>232</v>
      </c>
      <c r="BQ29" s="91" t="s">
        <v>232</v>
      </c>
      <c r="BR29" s="91" t="s">
        <v>232</v>
      </c>
      <c r="BS29" s="91" t="s">
        <v>232</v>
      </c>
      <c r="BT29" s="91" t="s">
        <v>232</v>
      </c>
      <c r="BU29" s="91">
        <v>45583</v>
      </c>
      <c r="BV29" s="91">
        <v>45594</v>
      </c>
      <c r="BW29" s="91">
        <v>45584</v>
      </c>
      <c r="BX29" s="91">
        <v>45584</v>
      </c>
      <c r="BY29" s="91">
        <v>45582</v>
      </c>
      <c r="BZ29" s="91">
        <v>45588</v>
      </c>
      <c r="CA29" s="91">
        <v>45593</v>
      </c>
      <c r="CB29" s="91">
        <v>45790</v>
      </c>
      <c r="CC29" s="91">
        <v>45593</v>
      </c>
      <c r="CD29" s="91">
        <v>45590</v>
      </c>
      <c r="CE29" s="91" t="s">
        <v>232</v>
      </c>
      <c r="CF29" s="91">
        <v>45619</v>
      </c>
      <c r="CG29" s="91">
        <v>45622</v>
      </c>
      <c r="CH29" s="91">
        <v>45627</v>
      </c>
      <c r="CI29" s="91">
        <v>45602</v>
      </c>
      <c r="CJ29" s="91">
        <v>45609</v>
      </c>
      <c r="CK29" s="91" t="s">
        <v>232</v>
      </c>
      <c r="CL29" s="11" t="s">
        <v>232</v>
      </c>
      <c r="CM29" s="91" t="s">
        <v>232</v>
      </c>
      <c r="CN29" s="91">
        <v>45639</v>
      </c>
      <c r="CO29" s="91">
        <v>45699</v>
      </c>
      <c r="CP29" s="91" t="s">
        <v>232</v>
      </c>
      <c r="CQ29" s="10">
        <v>45742</v>
      </c>
      <c r="CR29" s="10" t="s">
        <v>232</v>
      </c>
      <c r="CS29" s="10" t="s">
        <v>232</v>
      </c>
      <c r="CT29" s="10" t="s">
        <v>232</v>
      </c>
      <c r="CU29" s="10">
        <v>45931</v>
      </c>
      <c r="CV29" s="11" t="s">
        <v>232</v>
      </c>
      <c r="CW29" s="10">
        <v>45913</v>
      </c>
      <c r="CX29" s="10"/>
      <c r="CY29" s="10">
        <v>46017</v>
      </c>
    </row>
    <row r="30" spans="2:103" ht="79.150000000000006" customHeight="1">
      <c r="B30" s="462">
        <v>26</v>
      </c>
      <c r="C30" s="464" t="s">
        <v>93</v>
      </c>
      <c r="D30" s="377" t="s">
        <v>94</v>
      </c>
      <c r="E30" s="377" t="s">
        <v>312</v>
      </c>
      <c r="F30" s="377" t="s">
        <v>239</v>
      </c>
      <c r="G30" s="439" t="s">
        <v>313</v>
      </c>
      <c r="H30" s="319">
        <v>45572</v>
      </c>
      <c r="I30" s="91">
        <f t="shared" si="0"/>
        <v>46301</v>
      </c>
      <c r="J30" s="319">
        <v>45573</v>
      </c>
      <c r="K30" s="91">
        <f t="shared" si="1"/>
        <v>46302</v>
      </c>
      <c r="L30" s="319">
        <v>45574</v>
      </c>
      <c r="M30" s="91">
        <f t="shared" si="2"/>
        <v>46303</v>
      </c>
      <c r="N30" s="91" t="s">
        <v>231</v>
      </c>
      <c r="O30" s="91" t="s">
        <v>231</v>
      </c>
      <c r="P30" s="91">
        <v>45568</v>
      </c>
      <c r="Q30" s="91">
        <f t="shared" si="22"/>
        <v>46297</v>
      </c>
      <c r="R30" s="319" t="s">
        <v>231</v>
      </c>
      <c r="S30" s="319" t="s">
        <v>231</v>
      </c>
      <c r="T30" s="317">
        <v>45825</v>
      </c>
      <c r="U30" s="91">
        <f>IF(ISBLANK(T30),"",EDATE(T30,24))-1</f>
        <v>46554</v>
      </c>
      <c r="V30" s="91" t="s">
        <v>231</v>
      </c>
      <c r="W30" s="91" t="s">
        <v>231</v>
      </c>
      <c r="X30" s="317">
        <v>45834</v>
      </c>
      <c r="Y30" s="91">
        <f>IF(ISBLANK(X30),"",EDATE(X30,24))-1</f>
        <v>46563</v>
      </c>
      <c r="Z30" s="91" t="s">
        <v>231</v>
      </c>
      <c r="AA30" s="91" t="s">
        <v>231</v>
      </c>
      <c r="AB30" s="317" t="s">
        <v>232</v>
      </c>
      <c r="AC30" s="317" t="s">
        <v>232</v>
      </c>
      <c r="AD30" s="317" t="s">
        <v>232</v>
      </c>
      <c r="AE30" s="317" t="s">
        <v>232</v>
      </c>
      <c r="AF30" s="319">
        <v>45569</v>
      </c>
      <c r="AG30" s="91">
        <f>IF(ISBLANK(AF30),"",EDATE(AF30,24))-1</f>
        <v>46298</v>
      </c>
      <c r="AH30" s="91">
        <v>45577</v>
      </c>
      <c r="AI30" s="91">
        <f t="shared" si="25"/>
        <v>46306</v>
      </c>
      <c r="AJ30" s="91">
        <v>45579</v>
      </c>
      <c r="AK30" s="91">
        <f t="shared" si="24"/>
        <v>46308</v>
      </c>
      <c r="AL30" s="319">
        <v>45748</v>
      </c>
      <c r="AM30" s="91">
        <f>IF(ISBLANK(AL30),"",EDATE(AL30,12))-1</f>
        <v>46112</v>
      </c>
      <c r="AN30" s="91">
        <v>45560</v>
      </c>
      <c r="AO30" s="91">
        <f t="shared" si="6"/>
        <v>46289</v>
      </c>
      <c r="AP30" s="91">
        <v>45723</v>
      </c>
      <c r="AQ30" s="91">
        <f t="shared" si="7"/>
        <v>46452</v>
      </c>
      <c r="AR30" s="91">
        <v>45784</v>
      </c>
      <c r="AS30" s="91">
        <f t="shared" si="8"/>
        <v>46513</v>
      </c>
      <c r="AT30" s="91">
        <v>45782</v>
      </c>
      <c r="AU30" s="91">
        <f>IF(ISBLANK(AT30),"",EDATE(AT30,24))-1</f>
        <v>46511</v>
      </c>
      <c r="AV30" s="91">
        <v>45782</v>
      </c>
      <c r="AW30" s="91">
        <f t="shared" si="9"/>
        <v>46511</v>
      </c>
      <c r="AX30" s="91">
        <v>45660</v>
      </c>
      <c r="AY30" s="91">
        <f t="shared" si="11"/>
        <v>46389</v>
      </c>
      <c r="AZ30" s="317" t="s">
        <v>232</v>
      </c>
      <c r="BA30" s="91" t="e">
        <f t="shared" si="12"/>
        <v>#VALUE!</v>
      </c>
      <c r="BB30" s="91">
        <v>45480</v>
      </c>
      <c r="BC30" s="91">
        <f>IF(ISBLANK(BB30),"",EDATE(BB30,24))-1</f>
        <v>46209</v>
      </c>
      <c r="BD30" s="317" t="s">
        <v>232</v>
      </c>
      <c r="BE30" s="91" t="e">
        <f t="shared" si="20"/>
        <v>#VALUE!</v>
      </c>
      <c r="BF30" s="91">
        <v>45715</v>
      </c>
      <c r="BG30" s="90">
        <f>IF(ISBLANK(BF30),"",EDATE(BF30,24))-1</f>
        <v>46444</v>
      </c>
      <c r="BH30" s="317" t="s">
        <v>232</v>
      </c>
      <c r="BI30" s="317" t="s">
        <v>232</v>
      </c>
      <c r="BJ30" s="317" t="s">
        <v>232</v>
      </c>
      <c r="BK30" s="317" t="s">
        <v>232</v>
      </c>
      <c r="BL30" s="91">
        <v>45575</v>
      </c>
      <c r="BM30" s="91">
        <f t="shared" si="10"/>
        <v>46304</v>
      </c>
      <c r="BN30" s="91" t="s">
        <v>232</v>
      </c>
      <c r="BO30" s="91" t="s">
        <v>232</v>
      </c>
      <c r="BP30" s="91" t="s">
        <v>232</v>
      </c>
      <c r="BQ30" s="91" t="s">
        <v>232</v>
      </c>
      <c r="BR30" s="91" t="s">
        <v>232</v>
      </c>
      <c r="BS30" s="91" t="s">
        <v>232</v>
      </c>
      <c r="BT30" s="91">
        <v>45480</v>
      </c>
      <c r="BU30" s="91">
        <v>45583</v>
      </c>
      <c r="BV30" s="91">
        <v>45594</v>
      </c>
      <c r="BW30" s="91">
        <v>45584</v>
      </c>
      <c r="BX30" s="91">
        <v>45584</v>
      </c>
      <c r="BY30" s="91">
        <v>45582</v>
      </c>
      <c r="BZ30" s="91">
        <v>45588</v>
      </c>
      <c r="CA30" s="91">
        <v>45593</v>
      </c>
      <c r="CB30" s="91">
        <v>45790</v>
      </c>
      <c r="CC30" s="91">
        <v>45593</v>
      </c>
      <c r="CD30" s="91">
        <v>45590</v>
      </c>
      <c r="CE30" s="91" t="s">
        <v>232</v>
      </c>
      <c r="CF30" s="91">
        <v>45619</v>
      </c>
      <c r="CG30" s="91">
        <v>45622</v>
      </c>
      <c r="CH30" s="323">
        <v>45627</v>
      </c>
      <c r="CI30" s="323">
        <v>45602</v>
      </c>
      <c r="CJ30" s="323">
        <v>45609</v>
      </c>
      <c r="CK30" s="91">
        <v>45810</v>
      </c>
      <c r="CL30" s="11" t="s">
        <v>232</v>
      </c>
      <c r="CM30" s="91" t="s">
        <v>232</v>
      </c>
      <c r="CN30" s="91">
        <v>45639</v>
      </c>
      <c r="CO30" s="91">
        <v>45738</v>
      </c>
      <c r="CP30" s="91" t="s">
        <v>232</v>
      </c>
      <c r="CQ30" s="10">
        <v>45785</v>
      </c>
      <c r="CR30" s="10">
        <v>45807</v>
      </c>
      <c r="CS30" s="10">
        <v>45716</v>
      </c>
      <c r="CT30" s="10">
        <v>45828</v>
      </c>
      <c r="CU30" s="11">
        <v>46070</v>
      </c>
      <c r="CV30" s="11" t="s">
        <v>232</v>
      </c>
      <c r="CW30" s="10">
        <v>45884</v>
      </c>
      <c r="CX30" s="10">
        <v>45951</v>
      </c>
      <c r="CY30" s="11"/>
    </row>
    <row r="31" spans="2:103" ht="79.900000000000006" customHeight="1">
      <c r="B31" s="462">
        <v>27</v>
      </c>
      <c r="C31" s="464" t="s">
        <v>314</v>
      </c>
      <c r="D31" s="377" t="s">
        <v>315</v>
      </c>
      <c r="E31" s="377" t="s">
        <v>316</v>
      </c>
      <c r="F31" s="382" t="s">
        <v>317</v>
      </c>
      <c r="G31" s="440" t="s">
        <v>318</v>
      </c>
      <c r="H31" s="319">
        <v>45572</v>
      </c>
      <c r="I31" s="91">
        <f t="shared" si="0"/>
        <v>46301</v>
      </c>
      <c r="J31" s="319">
        <v>45573</v>
      </c>
      <c r="K31" s="91">
        <f t="shared" si="1"/>
        <v>46302</v>
      </c>
      <c r="L31" s="319">
        <v>45574</v>
      </c>
      <c r="M31" s="91">
        <f t="shared" si="2"/>
        <v>46303</v>
      </c>
      <c r="N31" s="91">
        <v>45567</v>
      </c>
      <c r="O31" s="91">
        <f t="shared" si="21"/>
        <v>46296</v>
      </c>
      <c r="P31" s="91">
        <v>45568</v>
      </c>
      <c r="Q31" s="91">
        <f t="shared" si="22"/>
        <v>46297</v>
      </c>
      <c r="R31" s="319">
        <v>45581</v>
      </c>
      <c r="S31" s="91">
        <f t="shared" si="23"/>
        <v>46310</v>
      </c>
      <c r="T31" s="91" t="s">
        <v>231</v>
      </c>
      <c r="U31" s="91" t="s">
        <v>231</v>
      </c>
      <c r="V31" s="91" t="s">
        <v>231</v>
      </c>
      <c r="W31" s="91" t="s">
        <v>231</v>
      </c>
      <c r="X31" s="317">
        <v>45834</v>
      </c>
      <c r="Y31" s="91">
        <f>IF(ISBLANK(X31),"",EDATE(X31,24))-1</f>
        <v>46563</v>
      </c>
      <c r="Z31" s="317"/>
      <c r="AA31" s="317"/>
      <c r="AB31" s="317"/>
      <c r="AC31" s="317"/>
      <c r="AD31" s="319">
        <v>45795</v>
      </c>
      <c r="AE31" s="91">
        <f>IF(ISBLANK(AD31),"",EDATE(AD31,24))-1</f>
        <v>46524</v>
      </c>
      <c r="AF31" s="319">
        <v>45569</v>
      </c>
      <c r="AG31" s="91">
        <f>IF(ISBLANK(AF31),"",EDATE(AF31,24))-1</f>
        <v>46298</v>
      </c>
      <c r="AH31" s="91">
        <v>45577</v>
      </c>
      <c r="AI31" s="91">
        <f t="shared" si="25"/>
        <v>46306</v>
      </c>
      <c r="AJ31" s="91">
        <v>45579</v>
      </c>
      <c r="AK31" s="91">
        <f t="shared" si="24"/>
        <v>46308</v>
      </c>
      <c r="AL31" s="319">
        <v>45748</v>
      </c>
      <c r="AM31" s="91">
        <f>IF(ISBLANK(AL31),"",EDATE(AL31,24))</f>
        <v>46478</v>
      </c>
      <c r="AN31" s="91">
        <v>45560</v>
      </c>
      <c r="AO31" s="91">
        <f t="shared" si="6"/>
        <v>46289</v>
      </c>
      <c r="AP31" s="91">
        <v>45709</v>
      </c>
      <c r="AQ31" s="91">
        <f t="shared" si="7"/>
        <v>46438</v>
      </c>
      <c r="AR31" s="91">
        <v>45784</v>
      </c>
      <c r="AS31" s="91">
        <f t="shared" si="8"/>
        <v>46513</v>
      </c>
      <c r="AT31" s="317" t="s">
        <v>231</v>
      </c>
      <c r="AU31" s="317" t="s">
        <v>231</v>
      </c>
      <c r="AV31" s="317" t="s">
        <v>231</v>
      </c>
      <c r="AW31" s="317" t="s">
        <v>231</v>
      </c>
      <c r="AX31" s="317" t="s">
        <v>231</v>
      </c>
      <c r="AY31" s="317" t="s">
        <v>231</v>
      </c>
      <c r="AZ31" s="91">
        <v>46066</v>
      </c>
      <c r="BA31" s="91">
        <f t="shared" si="12"/>
        <v>46795</v>
      </c>
      <c r="BB31" s="91">
        <v>45474</v>
      </c>
      <c r="BC31" s="91">
        <f>IF(ISBLANK(BB31),"",EDATE(BB31,24))-1</f>
        <v>46203</v>
      </c>
      <c r="BD31" s="317" t="s">
        <v>231</v>
      </c>
      <c r="BE31" s="317" t="s">
        <v>231</v>
      </c>
      <c r="BF31" s="317" t="s">
        <v>231</v>
      </c>
      <c r="BG31" s="317" t="s">
        <v>231</v>
      </c>
      <c r="BH31" s="317" t="s">
        <v>231</v>
      </c>
      <c r="BI31" s="317" t="s">
        <v>231</v>
      </c>
      <c r="BJ31" s="317" t="s">
        <v>231</v>
      </c>
      <c r="BK31" s="317" t="s">
        <v>231</v>
      </c>
      <c r="BL31" s="91">
        <v>45575</v>
      </c>
      <c r="BM31" s="91">
        <f t="shared" si="10"/>
        <v>46304</v>
      </c>
      <c r="BN31" s="91" t="s">
        <v>232</v>
      </c>
      <c r="BO31" s="91" t="s">
        <v>232</v>
      </c>
      <c r="BP31" s="91" t="s">
        <v>232</v>
      </c>
      <c r="BQ31" s="91" t="s">
        <v>232</v>
      </c>
      <c r="BR31" s="91" t="s">
        <v>232</v>
      </c>
      <c r="BS31" s="91">
        <v>45590</v>
      </c>
      <c r="BT31" s="91" t="s">
        <v>232</v>
      </c>
      <c r="BU31" s="91">
        <v>45583</v>
      </c>
      <c r="BV31" s="91">
        <v>45594</v>
      </c>
      <c r="BW31" s="91">
        <v>45584</v>
      </c>
      <c r="BX31" s="91">
        <v>45584</v>
      </c>
      <c r="BY31" s="91">
        <v>45582</v>
      </c>
      <c r="BZ31" s="10">
        <v>46013</v>
      </c>
      <c r="CA31" s="91">
        <v>45593</v>
      </c>
      <c r="CB31" s="91" t="s">
        <v>232</v>
      </c>
      <c r="CC31" s="91">
        <v>45593</v>
      </c>
      <c r="CD31" s="91">
        <v>45706</v>
      </c>
      <c r="CE31" s="91" t="s">
        <v>232</v>
      </c>
      <c r="CF31" s="91">
        <v>45619</v>
      </c>
      <c r="CG31" s="91">
        <v>45622</v>
      </c>
      <c r="CH31" s="91">
        <v>45627</v>
      </c>
      <c r="CI31" s="91">
        <v>45602</v>
      </c>
      <c r="CJ31" s="91">
        <v>45609</v>
      </c>
      <c r="CK31" s="91" t="s">
        <v>232</v>
      </c>
      <c r="CL31" s="11" t="s">
        <v>232</v>
      </c>
      <c r="CM31" s="91" t="s">
        <v>232</v>
      </c>
      <c r="CN31" s="91">
        <v>45639</v>
      </c>
      <c r="CO31" s="91">
        <v>45699</v>
      </c>
      <c r="CP31" s="91" t="s">
        <v>232</v>
      </c>
      <c r="CQ31" s="10">
        <v>45743</v>
      </c>
      <c r="CR31" s="10" t="s">
        <v>232</v>
      </c>
      <c r="CS31" s="10" t="s">
        <v>232</v>
      </c>
      <c r="CT31" s="10" t="s">
        <v>232</v>
      </c>
      <c r="CU31" s="11">
        <v>46070</v>
      </c>
      <c r="CV31" s="11" t="s">
        <v>232</v>
      </c>
      <c r="CW31" s="11" t="s">
        <v>232</v>
      </c>
      <c r="CX31" s="11"/>
      <c r="CY31" s="11"/>
    </row>
    <row r="32" spans="2:103" ht="160.15" customHeight="1">
      <c r="B32" s="462">
        <v>28</v>
      </c>
      <c r="C32" s="464" t="s">
        <v>96</v>
      </c>
      <c r="D32" s="377" t="s">
        <v>97</v>
      </c>
      <c r="E32" s="377" t="s">
        <v>319</v>
      </c>
      <c r="F32" s="377" t="s">
        <v>239</v>
      </c>
      <c r="G32" s="440" t="s">
        <v>320</v>
      </c>
      <c r="H32" s="319">
        <v>45609</v>
      </c>
      <c r="I32" s="91">
        <f t="shared" si="0"/>
        <v>46338</v>
      </c>
      <c r="J32" s="319">
        <v>45610</v>
      </c>
      <c r="K32" s="91">
        <f t="shared" si="1"/>
        <v>46339</v>
      </c>
      <c r="L32" s="319">
        <v>45611</v>
      </c>
      <c r="M32" s="91">
        <f t="shared" si="2"/>
        <v>46340</v>
      </c>
      <c r="N32" s="91" t="s">
        <v>231</v>
      </c>
      <c r="O32" s="91" t="s">
        <v>231</v>
      </c>
      <c r="P32" s="91" t="s">
        <v>231</v>
      </c>
      <c r="Q32" s="91" t="s">
        <v>231</v>
      </c>
      <c r="R32" s="91" t="s">
        <v>231</v>
      </c>
      <c r="S32" s="91" t="s">
        <v>231</v>
      </c>
      <c r="T32" s="317">
        <v>45825</v>
      </c>
      <c r="U32" s="91">
        <f>IF(ISBLANK(T32),"",EDATE(T32,24))-1</f>
        <v>46554</v>
      </c>
      <c r="V32" s="317" t="s">
        <v>231</v>
      </c>
      <c r="W32" s="317" t="s">
        <v>231</v>
      </c>
      <c r="X32" s="317" t="s">
        <v>232</v>
      </c>
      <c r="Y32" s="317" t="s">
        <v>232</v>
      </c>
      <c r="Z32" s="317" t="s">
        <v>232</v>
      </c>
      <c r="AA32" s="317" t="s">
        <v>232</v>
      </c>
      <c r="AB32" s="317" t="s">
        <v>232</v>
      </c>
      <c r="AC32" s="317" t="s">
        <v>232</v>
      </c>
      <c r="AD32" s="317" t="s">
        <v>232</v>
      </c>
      <c r="AE32" s="317" t="s">
        <v>232</v>
      </c>
      <c r="AF32" s="319">
        <v>45607</v>
      </c>
      <c r="AG32" s="91">
        <f>IF(ISBLANK(AF32),"",EDATE(AF32,24))</f>
        <v>46337</v>
      </c>
      <c r="AH32" s="91">
        <v>45673</v>
      </c>
      <c r="AI32" s="91">
        <f t="shared" si="25"/>
        <v>46402</v>
      </c>
      <c r="AJ32" s="91">
        <v>45674</v>
      </c>
      <c r="AK32" s="91">
        <f t="shared" si="24"/>
        <v>46403</v>
      </c>
      <c r="AL32" s="319">
        <v>45785</v>
      </c>
      <c r="AM32" s="91">
        <f>IF(ISBLANK(AL32),"",EDATE(AL32,12))-1</f>
        <v>46149</v>
      </c>
      <c r="AN32" s="91">
        <v>45617</v>
      </c>
      <c r="AO32" s="91">
        <f t="shared" si="6"/>
        <v>46346</v>
      </c>
      <c r="AP32" s="91">
        <v>45709</v>
      </c>
      <c r="AQ32" s="91">
        <f t="shared" si="7"/>
        <v>46438</v>
      </c>
      <c r="AR32" s="91">
        <v>45784</v>
      </c>
      <c r="AS32" s="91">
        <f t="shared" si="8"/>
        <v>46513</v>
      </c>
      <c r="AT32" s="91">
        <v>45782</v>
      </c>
      <c r="AU32" s="91">
        <f>IF(ISBLANK(AT32),"",EDATE(AT32,24))-1</f>
        <v>46511</v>
      </c>
      <c r="AV32" s="91">
        <v>45782</v>
      </c>
      <c r="AW32" s="91">
        <f t="shared" ref="AW32:AW49" si="26">IF(ISBLANK(AV32),"",EDATE(AV32,24))-1</f>
        <v>46511</v>
      </c>
      <c r="AX32" s="319">
        <v>45614</v>
      </c>
      <c r="AY32" s="91">
        <f t="shared" ref="AY32:AY49" si="27">IF(ISBLANK(AX32),"",EDATE(AX32,24))-1</f>
        <v>46343</v>
      </c>
      <c r="AZ32" s="317" t="s">
        <v>232</v>
      </c>
      <c r="BA32" s="91" t="e">
        <f t="shared" si="12"/>
        <v>#VALUE!</v>
      </c>
      <c r="BB32" s="317" t="s">
        <v>232</v>
      </c>
      <c r="BC32" s="317" t="s">
        <v>232</v>
      </c>
      <c r="BD32" s="317" t="s">
        <v>232</v>
      </c>
      <c r="BE32" s="91" t="e">
        <f t="shared" ref="BE32:BE49" si="28">IF(ISBLANK(BD32),"",EDATE(BD32,24))-1</f>
        <v>#VALUE!</v>
      </c>
      <c r="BF32" s="317" t="s">
        <v>232</v>
      </c>
      <c r="BG32" s="317" t="s">
        <v>232</v>
      </c>
      <c r="BH32" s="317" t="s">
        <v>232</v>
      </c>
      <c r="BI32" s="317" t="s">
        <v>232</v>
      </c>
      <c r="BJ32" s="317" t="s">
        <v>232</v>
      </c>
      <c r="BK32" s="317" t="s">
        <v>232</v>
      </c>
      <c r="BL32" s="91">
        <v>45667</v>
      </c>
      <c r="BM32" s="91">
        <f t="shared" si="10"/>
        <v>46396</v>
      </c>
      <c r="BN32" s="91" t="s">
        <v>232</v>
      </c>
      <c r="BO32" s="91" t="s">
        <v>232</v>
      </c>
      <c r="BP32" s="91" t="s">
        <v>232</v>
      </c>
      <c r="BQ32" s="91" t="s">
        <v>232</v>
      </c>
      <c r="BR32" s="91" t="s">
        <v>232</v>
      </c>
      <c r="BS32" s="91" t="s">
        <v>232</v>
      </c>
      <c r="BT32" s="91">
        <v>45480</v>
      </c>
      <c r="BU32" s="91">
        <v>45693</v>
      </c>
      <c r="BV32" s="91">
        <v>45712</v>
      </c>
      <c r="BW32" s="91">
        <v>45696</v>
      </c>
      <c r="BX32" s="91">
        <v>45696</v>
      </c>
      <c r="BY32" s="91">
        <v>45692</v>
      </c>
      <c r="BZ32" s="10">
        <v>46013</v>
      </c>
      <c r="CA32" s="91">
        <v>45620</v>
      </c>
      <c r="CB32" s="91">
        <v>45790</v>
      </c>
      <c r="CC32" s="91">
        <v>45698</v>
      </c>
      <c r="CD32" s="91">
        <v>45706</v>
      </c>
      <c r="CE32" s="91" t="s">
        <v>232</v>
      </c>
      <c r="CF32" s="91">
        <v>45619</v>
      </c>
      <c r="CG32" s="91">
        <v>45622</v>
      </c>
      <c r="CH32" s="91">
        <v>45627</v>
      </c>
      <c r="CI32" s="91">
        <v>45620</v>
      </c>
      <c r="CJ32" s="91">
        <v>45716</v>
      </c>
      <c r="CK32" s="91">
        <v>45810</v>
      </c>
      <c r="CL32" s="10">
        <v>45981</v>
      </c>
      <c r="CM32" s="91" t="s">
        <v>232</v>
      </c>
      <c r="CN32" s="91">
        <v>45639</v>
      </c>
      <c r="CO32" s="91">
        <v>45701</v>
      </c>
      <c r="CP32" s="91" t="s">
        <v>232</v>
      </c>
      <c r="CQ32" s="10">
        <v>45749</v>
      </c>
      <c r="CR32" s="10" t="s">
        <v>232</v>
      </c>
      <c r="CS32" s="10" t="s">
        <v>232</v>
      </c>
      <c r="CT32" s="10">
        <v>45828</v>
      </c>
      <c r="CU32" s="10">
        <v>45931</v>
      </c>
      <c r="CV32" s="11" t="s">
        <v>232</v>
      </c>
      <c r="CW32" s="10">
        <v>45884</v>
      </c>
      <c r="CX32" s="10"/>
      <c r="CY32" s="10">
        <v>46017</v>
      </c>
    </row>
    <row r="33" spans="2:103" ht="135" customHeight="1">
      <c r="B33" s="462">
        <v>29</v>
      </c>
      <c r="C33" s="464" t="s">
        <v>99</v>
      </c>
      <c r="D33" s="377" t="s">
        <v>100</v>
      </c>
      <c r="E33" s="377" t="s">
        <v>321</v>
      </c>
      <c r="F33" s="377" t="s">
        <v>322</v>
      </c>
      <c r="G33" s="440" t="s">
        <v>323</v>
      </c>
      <c r="H33" s="319">
        <v>45734</v>
      </c>
      <c r="I33" s="91">
        <f t="shared" si="0"/>
        <v>46463</v>
      </c>
      <c r="J33" s="319">
        <v>45735</v>
      </c>
      <c r="K33" s="91">
        <f t="shared" si="1"/>
        <v>46464</v>
      </c>
      <c r="L33" s="319">
        <v>45736</v>
      </c>
      <c r="M33" s="91">
        <f t="shared" si="2"/>
        <v>46465</v>
      </c>
      <c r="N33" s="91" t="s">
        <v>231</v>
      </c>
      <c r="O33" s="91" t="s">
        <v>231</v>
      </c>
      <c r="P33" s="91" t="s">
        <v>231</v>
      </c>
      <c r="Q33" s="91" t="s">
        <v>231</v>
      </c>
      <c r="R33" s="91" t="s">
        <v>231</v>
      </c>
      <c r="S33" s="91" t="s">
        <v>231</v>
      </c>
      <c r="T33" s="317">
        <v>45825</v>
      </c>
      <c r="U33" s="91">
        <f>IF(ISBLANK(T33),"",EDATE(T33,24))-1</f>
        <v>46554</v>
      </c>
      <c r="V33" s="319">
        <v>45615</v>
      </c>
      <c r="W33" s="91">
        <f>IF(ISBLANK(V33),"",EDATE(V33,24))-1</f>
        <v>46344</v>
      </c>
      <c r="X33" s="317">
        <v>45834</v>
      </c>
      <c r="Y33" s="91">
        <f>IF(ISBLANK(X33),"",EDATE(X33,24))-1</f>
        <v>46563</v>
      </c>
      <c r="Z33" s="91" t="s">
        <v>231</v>
      </c>
      <c r="AA33" s="91" t="s">
        <v>231</v>
      </c>
      <c r="AB33" s="317" t="s">
        <v>232</v>
      </c>
      <c r="AC33" s="317" t="s">
        <v>232</v>
      </c>
      <c r="AD33" s="319">
        <v>45795</v>
      </c>
      <c r="AE33" s="91">
        <f>IF(ISBLANK(AD33),"",EDATE(AD33,24))-1</f>
        <v>46524</v>
      </c>
      <c r="AF33" s="319">
        <v>45733</v>
      </c>
      <c r="AG33" s="91">
        <f t="shared" ref="AG33:AG59" si="29">IF(ISBLANK(AF33),"",EDATE(AF33,24))-1</f>
        <v>46462</v>
      </c>
      <c r="AH33" s="91">
        <v>46056</v>
      </c>
      <c r="AI33" s="91">
        <f t="shared" si="25"/>
        <v>46785</v>
      </c>
      <c r="AJ33" s="91">
        <v>45744</v>
      </c>
      <c r="AK33" s="91">
        <f t="shared" si="24"/>
        <v>46473</v>
      </c>
      <c r="AL33" s="319">
        <v>45785</v>
      </c>
      <c r="AM33" s="91">
        <f>IF(ISBLANK(AL33),"",EDATE(AL33,12))-1</f>
        <v>46149</v>
      </c>
      <c r="AN33" s="91">
        <v>45786</v>
      </c>
      <c r="AO33" s="91">
        <f t="shared" si="6"/>
        <v>46515</v>
      </c>
      <c r="AP33" s="91">
        <v>45721</v>
      </c>
      <c r="AQ33" s="91">
        <f t="shared" si="7"/>
        <v>46450</v>
      </c>
      <c r="AR33" s="91">
        <v>45784</v>
      </c>
      <c r="AS33" s="91">
        <f t="shared" si="8"/>
        <v>46513</v>
      </c>
      <c r="AT33" s="91">
        <v>45835</v>
      </c>
      <c r="AU33" s="91">
        <f>IF(ISBLANK(AT33),"",EDATE(AT33,24))-1</f>
        <v>46564</v>
      </c>
      <c r="AV33" s="91">
        <v>45835</v>
      </c>
      <c r="AW33" s="91">
        <f t="shared" si="26"/>
        <v>46564</v>
      </c>
      <c r="AX33" s="91">
        <v>45781</v>
      </c>
      <c r="AY33" s="91">
        <f t="shared" si="27"/>
        <v>46510</v>
      </c>
      <c r="AZ33" s="91" t="s">
        <v>232</v>
      </c>
      <c r="BA33" s="91" t="e">
        <f t="shared" si="12"/>
        <v>#VALUE!</v>
      </c>
      <c r="BB33" s="91">
        <v>45821</v>
      </c>
      <c r="BC33" s="91">
        <f>IF(ISBLANK(BB33),"",EDATE(BB33,24))-1</f>
        <v>46550</v>
      </c>
      <c r="BD33" s="91" t="s">
        <v>232</v>
      </c>
      <c r="BE33" s="91" t="e">
        <f t="shared" si="28"/>
        <v>#VALUE!</v>
      </c>
      <c r="BF33" s="91">
        <v>45715</v>
      </c>
      <c r="BG33" s="91">
        <f>IF(ISBLANK(BF33),"",EDATE(BF33,24))-1</f>
        <v>46444</v>
      </c>
      <c r="BH33" s="317" t="s">
        <v>232</v>
      </c>
      <c r="BI33" s="317" t="s">
        <v>232</v>
      </c>
      <c r="BJ33" s="317" t="s">
        <v>232</v>
      </c>
      <c r="BK33" s="317" t="s">
        <v>232</v>
      </c>
      <c r="BL33" s="91">
        <v>45737</v>
      </c>
      <c r="BM33" s="91">
        <f t="shared" si="10"/>
        <v>46466</v>
      </c>
      <c r="BN33" s="91" t="s">
        <v>232</v>
      </c>
      <c r="BO33" s="91" t="s">
        <v>232</v>
      </c>
      <c r="BP33" s="91" t="s">
        <v>232</v>
      </c>
      <c r="BQ33" s="91" t="s">
        <v>232</v>
      </c>
      <c r="BR33" s="91" t="s">
        <v>232</v>
      </c>
      <c r="BS33" s="91" t="s">
        <v>232</v>
      </c>
      <c r="BT33" s="91" t="s">
        <v>232</v>
      </c>
      <c r="BU33" s="91">
        <v>45751</v>
      </c>
      <c r="BV33" s="91">
        <v>45758</v>
      </c>
      <c r="BW33" s="91">
        <v>45754</v>
      </c>
      <c r="BX33" s="91">
        <v>45910</v>
      </c>
      <c r="BY33" s="91">
        <v>45750</v>
      </c>
      <c r="BZ33" s="10">
        <v>46013</v>
      </c>
      <c r="CA33" s="91">
        <v>45749</v>
      </c>
      <c r="CB33" s="91">
        <v>45790</v>
      </c>
      <c r="CC33" s="91">
        <v>45749</v>
      </c>
      <c r="CD33" s="91">
        <v>45756</v>
      </c>
      <c r="CE33" s="91" t="s">
        <v>232</v>
      </c>
      <c r="CF33" s="91">
        <v>45619</v>
      </c>
      <c r="CG33" s="91">
        <v>45622</v>
      </c>
      <c r="CH33" s="91">
        <v>45731</v>
      </c>
      <c r="CI33" s="91">
        <v>46049</v>
      </c>
      <c r="CJ33" s="91" t="s">
        <v>232</v>
      </c>
      <c r="CK33" s="91">
        <v>45810</v>
      </c>
      <c r="CL33" s="10">
        <v>45981</v>
      </c>
      <c r="CM33" s="91" t="s">
        <v>232</v>
      </c>
      <c r="CN33" s="91">
        <v>45639</v>
      </c>
      <c r="CO33" s="91">
        <v>45763</v>
      </c>
      <c r="CP33" s="91" t="s">
        <v>232</v>
      </c>
      <c r="CQ33" s="10">
        <v>45742</v>
      </c>
      <c r="CR33" s="10" t="s">
        <v>232</v>
      </c>
      <c r="CS33" s="10">
        <v>45716</v>
      </c>
      <c r="CT33" s="10">
        <v>45865</v>
      </c>
      <c r="CU33" s="11">
        <v>46070</v>
      </c>
      <c r="CV33" s="11" t="s">
        <v>232</v>
      </c>
      <c r="CW33" s="11" t="s">
        <v>232</v>
      </c>
      <c r="CX33" s="11"/>
      <c r="CY33" s="10">
        <v>46017</v>
      </c>
    </row>
    <row r="34" spans="2:103" ht="50.25" customHeight="1">
      <c r="B34" s="462">
        <v>30</v>
      </c>
      <c r="C34" s="464" t="s">
        <v>324</v>
      </c>
      <c r="D34" s="377" t="s">
        <v>325</v>
      </c>
      <c r="E34" s="377" t="s">
        <v>326</v>
      </c>
      <c r="F34" s="377" t="s">
        <v>327</v>
      </c>
      <c r="G34" s="441" t="s">
        <v>232</v>
      </c>
      <c r="H34" s="319">
        <v>45664</v>
      </c>
      <c r="I34" s="91">
        <f t="shared" si="0"/>
        <v>46393</v>
      </c>
      <c r="J34" s="319">
        <v>45665</v>
      </c>
      <c r="K34" s="91">
        <f t="shared" si="1"/>
        <v>46394</v>
      </c>
      <c r="L34" s="319">
        <v>45666</v>
      </c>
      <c r="M34" s="91">
        <f t="shared" si="2"/>
        <v>46395</v>
      </c>
      <c r="N34" s="91">
        <v>45659</v>
      </c>
      <c r="O34" s="91">
        <f>IF(ISBLANK(N34),"",EDATE(N34,24))</f>
        <v>46389</v>
      </c>
      <c r="P34" s="91">
        <v>45660</v>
      </c>
      <c r="Q34" s="91">
        <f>IF(ISBLANK(P34),"",EDATE(P34,24))-1</f>
        <v>46389</v>
      </c>
      <c r="R34" s="91">
        <v>45678</v>
      </c>
      <c r="S34" s="91">
        <f t="shared" ref="S34:S39" si="30">IF(ISBLANK(R34),"",EDATE(R34,24))-1</f>
        <v>46407</v>
      </c>
      <c r="T34" s="91">
        <v>45680</v>
      </c>
      <c r="U34" s="91">
        <f>IF(ISBLANK(T34),"",EDATE(T34,24))-1</f>
        <v>46409</v>
      </c>
      <c r="V34" s="91">
        <v>45695</v>
      </c>
      <c r="W34" s="91">
        <f>IF(ISBLANK(V34),"",EDATE(V34,24))-1</f>
        <v>46424</v>
      </c>
      <c r="X34" s="91">
        <v>45685</v>
      </c>
      <c r="Y34" s="91">
        <f>IF(ISBLANK(X34),"",EDATE(X34,24))-1</f>
        <v>46414</v>
      </c>
      <c r="Z34" s="317" t="s">
        <v>232</v>
      </c>
      <c r="AA34" s="317" t="s">
        <v>232</v>
      </c>
      <c r="AB34" s="319">
        <v>45819</v>
      </c>
      <c r="AC34" s="317">
        <v>46531</v>
      </c>
      <c r="AD34" s="319">
        <v>45795</v>
      </c>
      <c r="AE34" s="91">
        <f>IF(ISBLANK(AD34),"",EDATE(AD34,24))-1</f>
        <v>46524</v>
      </c>
      <c r="AF34" s="319">
        <v>45663</v>
      </c>
      <c r="AG34" s="91">
        <f t="shared" si="29"/>
        <v>46392</v>
      </c>
      <c r="AH34" s="91">
        <v>45673</v>
      </c>
      <c r="AI34" s="91">
        <f t="shared" si="25"/>
        <v>46402</v>
      </c>
      <c r="AJ34" s="91">
        <v>45674</v>
      </c>
      <c r="AK34" s="91">
        <f t="shared" si="24"/>
        <v>46403</v>
      </c>
      <c r="AL34" s="319">
        <v>45707</v>
      </c>
      <c r="AM34" s="91">
        <f>IF(ISBLANK(AL34),"",EDATE(AL34,24))-1</f>
        <v>46436</v>
      </c>
      <c r="AN34" s="91">
        <v>45708</v>
      </c>
      <c r="AO34" s="91">
        <f t="shared" si="6"/>
        <v>46437</v>
      </c>
      <c r="AP34" s="91">
        <v>45709</v>
      </c>
      <c r="AQ34" s="91">
        <f t="shared" si="7"/>
        <v>46438</v>
      </c>
      <c r="AR34" s="91">
        <v>45784</v>
      </c>
      <c r="AS34" s="91">
        <f t="shared" si="8"/>
        <v>46513</v>
      </c>
      <c r="AT34" s="317" t="s">
        <v>232</v>
      </c>
      <c r="AU34" s="317" t="s">
        <v>232</v>
      </c>
      <c r="AV34" s="317" t="s">
        <v>232</v>
      </c>
      <c r="AW34" s="91" t="e">
        <f t="shared" si="26"/>
        <v>#VALUE!</v>
      </c>
      <c r="AX34" s="91" t="s">
        <v>232</v>
      </c>
      <c r="AY34" s="91" t="e">
        <f t="shared" si="27"/>
        <v>#VALUE!</v>
      </c>
      <c r="AZ34" s="91" t="s">
        <v>232</v>
      </c>
      <c r="BA34" s="91" t="e">
        <f t="shared" si="12"/>
        <v>#VALUE!</v>
      </c>
      <c r="BB34" s="317" t="s">
        <v>232</v>
      </c>
      <c r="BC34" s="317" t="s">
        <v>232</v>
      </c>
      <c r="BD34" s="317" t="s">
        <v>232</v>
      </c>
      <c r="BE34" s="91" t="e">
        <f t="shared" si="28"/>
        <v>#VALUE!</v>
      </c>
      <c r="BF34" s="317" t="s">
        <v>232</v>
      </c>
      <c r="BG34" s="317" t="s">
        <v>232</v>
      </c>
      <c r="BH34" s="317" t="s">
        <v>232</v>
      </c>
      <c r="BI34" s="317" t="s">
        <v>232</v>
      </c>
      <c r="BJ34" s="317" t="s">
        <v>232</v>
      </c>
      <c r="BK34" s="317" t="s">
        <v>232</v>
      </c>
      <c r="BL34" s="91">
        <v>45667</v>
      </c>
      <c r="BM34" s="91">
        <f t="shared" si="10"/>
        <v>46396</v>
      </c>
      <c r="BN34" s="91" t="s">
        <v>232</v>
      </c>
      <c r="BO34" s="91" t="s">
        <v>232</v>
      </c>
      <c r="BP34" s="91" t="s">
        <v>232</v>
      </c>
      <c r="BQ34" s="91">
        <v>45638</v>
      </c>
      <c r="BR34" s="91" t="s">
        <v>232</v>
      </c>
      <c r="BS34" s="91">
        <v>43284</v>
      </c>
      <c r="BT34" s="91" t="s">
        <v>232</v>
      </c>
      <c r="BU34" s="91">
        <v>45693</v>
      </c>
      <c r="BV34" s="91">
        <v>45712</v>
      </c>
      <c r="BW34" s="91">
        <v>45696</v>
      </c>
      <c r="BX34" s="91">
        <v>45910</v>
      </c>
      <c r="BY34" s="91">
        <v>45692</v>
      </c>
      <c r="BZ34" s="91">
        <v>45724</v>
      </c>
      <c r="CA34" s="91">
        <v>45698</v>
      </c>
      <c r="CB34" s="91" t="s">
        <v>232</v>
      </c>
      <c r="CC34" s="91">
        <v>45698</v>
      </c>
      <c r="CD34" s="91">
        <v>45706</v>
      </c>
      <c r="CE34" s="91" t="s">
        <v>232</v>
      </c>
      <c r="CF34" s="91">
        <v>45720</v>
      </c>
      <c r="CG34" s="91">
        <v>45814</v>
      </c>
      <c r="CH34" s="91">
        <v>45731</v>
      </c>
      <c r="CI34" s="91">
        <v>45716</v>
      </c>
      <c r="CJ34" s="91">
        <v>45716</v>
      </c>
      <c r="CK34" s="91" t="s">
        <v>232</v>
      </c>
      <c r="CL34" s="11" t="s">
        <v>232</v>
      </c>
      <c r="CM34" s="91" t="s">
        <v>232</v>
      </c>
      <c r="CN34" s="91">
        <v>45639</v>
      </c>
      <c r="CO34" s="91">
        <v>45699</v>
      </c>
      <c r="CP34" s="91" t="s">
        <v>232</v>
      </c>
      <c r="CQ34" s="10">
        <v>45757</v>
      </c>
      <c r="CR34" s="10" t="s">
        <v>232</v>
      </c>
      <c r="CS34" s="10" t="s">
        <v>232</v>
      </c>
      <c r="CT34" s="10" t="s">
        <v>232</v>
      </c>
      <c r="CU34" s="10">
        <v>45931</v>
      </c>
      <c r="CV34" s="11" t="s">
        <v>232</v>
      </c>
      <c r="CW34" s="11" t="s">
        <v>232</v>
      </c>
      <c r="CX34" s="10">
        <v>45953</v>
      </c>
      <c r="CY34" s="11"/>
    </row>
    <row r="35" spans="2:103" ht="89.25" customHeight="1">
      <c r="B35" s="462">
        <v>31</v>
      </c>
      <c r="C35" s="464" t="s">
        <v>328</v>
      </c>
      <c r="D35" s="377" t="s">
        <v>329</v>
      </c>
      <c r="E35" s="377" t="s">
        <v>330</v>
      </c>
      <c r="F35" s="377" t="s">
        <v>331</v>
      </c>
      <c r="G35" s="442" t="s">
        <v>332</v>
      </c>
      <c r="H35" s="319">
        <v>45664</v>
      </c>
      <c r="I35" s="91">
        <f t="shared" si="0"/>
        <v>46393</v>
      </c>
      <c r="J35" s="319">
        <v>45665</v>
      </c>
      <c r="K35" s="91">
        <f t="shared" si="1"/>
        <v>46394</v>
      </c>
      <c r="L35" s="319">
        <v>45666</v>
      </c>
      <c r="M35" s="91">
        <f t="shared" si="2"/>
        <v>46395</v>
      </c>
      <c r="N35" s="91">
        <v>45659</v>
      </c>
      <c r="O35" s="91">
        <f>IF(ISBLANK(N35),"",EDATE(N35,24))</f>
        <v>46389</v>
      </c>
      <c r="P35" s="91">
        <v>45660</v>
      </c>
      <c r="Q35" s="91">
        <f>IF(ISBLANK(P35),"",EDATE(P35,24))-1</f>
        <v>46389</v>
      </c>
      <c r="R35" s="91">
        <v>45678</v>
      </c>
      <c r="S35" s="91">
        <f t="shared" si="30"/>
        <v>46407</v>
      </c>
      <c r="T35" s="91">
        <v>45680</v>
      </c>
      <c r="U35" s="91">
        <f>IF(ISBLANK(T35),"",EDATE(T35,24))-1</f>
        <v>46409</v>
      </c>
      <c r="V35" s="91">
        <v>45695</v>
      </c>
      <c r="W35" s="91">
        <f>IF(ISBLANK(V35),"",EDATE(V35,24))-1</f>
        <v>46424</v>
      </c>
      <c r="X35" s="91" t="s">
        <v>231</v>
      </c>
      <c r="Y35" s="91" t="s">
        <v>231</v>
      </c>
      <c r="Z35" s="319">
        <v>45779</v>
      </c>
      <c r="AA35" s="91">
        <f>IF(ISBLANK(Z35),"",EDATE(Z35,24))-1</f>
        <v>46508</v>
      </c>
      <c r="AB35" s="317" t="s">
        <v>232</v>
      </c>
      <c r="AC35" s="317" t="s">
        <v>232</v>
      </c>
      <c r="AD35" s="319">
        <v>45795</v>
      </c>
      <c r="AE35" s="91">
        <f>IF(ISBLANK(AD35),"",EDATE(AD35,24))-1</f>
        <v>46524</v>
      </c>
      <c r="AF35" s="319">
        <v>45663</v>
      </c>
      <c r="AG35" s="91">
        <f t="shared" si="29"/>
        <v>46392</v>
      </c>
      <c r="AH35" s="91">
        <v>45673</v>
      </c>
      <c r="AI35" s="91">
        <f t="shared" si="25"/>
        <v>46402</v>
      </c>
      <c r="AJ35" s="91">
        <v>45674</v>
      </c>
      <c r="AK35" s="91">
        <f t="shared" si="24"/>
        <v>46403</v>
      </c>
      <c r="AL35" s="319">
        <v>45785</v>
      </c>
      <c r="AM35" s="91">
        <f>IF(ISBLANK(AL35),"",EDATE(AL35,24))</f>
        <v>46515</v>
      </c>
      <c r="AN35" s="91">
        <v>45786</v>
      </c>
      <c r="AO35" s="91">
        <f t="shared" si="6"/>
        <v>46515</v>
      </c>
      <c r="AP35" s="91">
        <v>45709</v>
      </c>
      <c r="AQ35" s="91">
        <f t="shared" si="7"/>
        <v>46438</v>
      </c>
      <c r="AR35" s="91">
        <v>45784</v>
      </c>
      <c r="AS35" s="91">
        <f t="shared" si="8"/>
        <v>46513</v>
      </c>
      <c r="AT35" s="91">
        <v>45691</v>
      </c>
      <c r="AU35" s="91">
        <f>IF(ISBLANK(AT35),"",EDATE(AT35,24))-1</f>
        <v>46420</v>
      </c>
      <c r="AV35" s="317" t="s">
        <v>232</v>
      </c>
      <c r="AW35" s="91" t="e">
        <f t="shared" si="26"/>
        <v>#VALUE!</v>
      </c>
      <c r="AX35" s="317" t="s">
        <v>232</v>
      </c>
      <c r="AY35" s="91" t="e">
        <f t="shared" si="27"/>
        <v>#VALUE!</v>
      </c>
      <c r="AZ35" s="317">
        <v>45812</v>
      </c>
      <c r="BA35" s="91">
        <f t="shared" si="12"/>
        <v>46541</v>
      </c>
      <c r="BB35" s="91">
        <v>45821</v>
      </c>
      <c r="BC35" s="91">
        <f t="shared" ref="BC35:BC59" si="31">IF(ISBLANK(BB35),"",EDATE(BB35,24))-1</f>
        <v>46550</v>
      </c>
      <c r="BD35" s="91">
        <v>45714</v>
      </c>
      <c r="BE35" s="91">
        <f t="shared" si="28"/>
        <v>46443</v>
      </c>
      <c r="BF35" s="317" t="s">
        <v>232</v>
      </c>
      <c r="BG35" s="317" t="s">
        <v>232</v>
      </c>
      <c r="BH35" s="317" t="s">
        <v>232</v>
      </c>
      <c r="BI35" s="317" t="s">
        <v>232</v>
      </c>
      <c r="BJ35" s="317" t="s">
        <v>232</v>
      </c>
      <c r="BK35" s="317" t="s">
        <v>232</v>
      </c>
      <c r="BL35" s="91">
        <v>45667</v>
      </c>
      <c r="BM35" s="91">
        <f t="shared" si="10"/>
        <v>46396</v>
      </c>
      <c r="BN35" s="91" t="s">
        <v>232</v>
      </c>
      <c r="BO35" s="91" t="s">
        <v>232</v>
      </c>
      <c r="BP35" s="317" t="s">
        <v>232</v>
      </c>
      <c r="BQ35" s="91" t="s">
        <v>232</v>
      </c>
      <c r="BR35" s="91" t="s">
        <v>232</v>
      </c>
      <c r="BS35" s="91" t="s">
        <v>232</v>
      </c>
      <c r="BT35" s="91" t="s">
        <v>232</v>
      </c>
      <c r="BU35" s="91">
        <v>45693</v>
      </c>
      <c r="BV35" s="91">
        <v>45712</v>
      </c>
      <c r="BW35" s="91">
        <v>45696</v>
      </c>
      <c r="BX35" s="91">
        <v>45696</v>
      </c>
      <c r="BY35" s="91">
        <v>45692</v>
      </c>
      <c r="BZ35" s="10">
        <v>46013</v>
      </c>
      <c r="CA35" s="91">
        <v>45698</v>
      </c>
      <c r="CB35" s="91" t="s">
        <v>232</v>
      </c>
      <c r="CC35" s="91">
        <v>45698</v>
      </c>
      <c r="CD35" s="91">
        <v>45706</v>
      </c>
      <c r="CE35" s="91" t="s">
        <v>232</v>
      </c>
      <c r="CF35" s="91">
        <v>45720</v>
      </c>
      <c r="CG35" s="91">
        <v>45814</v>
      </c>
      <c r="CH35" s="91">
        <v>45731</v>
      </c>
      <c r="CI35" s="91">
        <v>45716</v>
      </c>
      <c r="CJ35" s="91">
        <v>45716</v>
      </c>
      <c r="CK35" s="91" t="s">
        <v>232</v>
      </c>
      <c r="CL35" s="11" t="s">
        <v>232</v>
      </c>
      <c r="CM35" s="91" t="s">
        <v>232</v>
      </c>
      <c r="CN35" s="91">
        <v>45639</v>
      </c>
      <c r="CO35" s="91">
        <v>45701</v>
      </c>
      <c r="CP35" s="91" t="s">
        <v>232</v>
      </c>
      <c r="CQ35" s="10">
        <v>45743</v>
      </c>
      <c r="CR35" s="10" t="s">
        <v>232</v>
      </c>
      <c r="CS35" s="10" t="s">
        <v>232</v>
      </c>
      <c r="CT35" s="10" t="s">
        <v>232</v>
      </c>
      <c r="CU35" s="10">
        <v>45931</v>
      </c>
      <c r="CV35" s="11" t="s">
        <v>232</v>
      </c>
      <c r="CW35" s="11" t="s">
        <v>232</v>
      </c>
      <c r="CX35" s="10">
        <v>45951</v>
      </c>
      <c r="CY35" s="11"/>
    </row>
    <row r="36" spans="2:103" ht="50.25" customHeight="1">
      <c r="B36" s="462">
        <v>32</v>
      </c>
      <c r="C36" s="464" t="s">
        <v>333</v>
      </c>
      <c r="D36" s="377" t="s">
        <v>334</v>
      </c>
      <c r="E36" s="377" t="s">
        <v>335</v>
      </c>
      <c r="F36" s="377" t="s">
        <v>253</v>
      </c>
      <c r="G36" s="441" t="s">
        <v>232</v>
      </c>
      <c r="H36" s="319">
        <v>45664</v>
      </c>
      <c r="I36" s="91">
        <f t="shared" si="0"/>
        <v>46393</v>
      </c>
      <c r="J36" s="319">
        <v>45665</v>
      </c>
      <c r="K36" s="91">
        <f t="shared" si="1"/>
        <v>46394</v>
      </c>
      <c r="L36" s="319">
        <v>45666</v>
      </c>
      <c r="M36" s="91">
        <f t="shared" si="2"/>
        <v>46395</v>
      </c>
      <c r="N36" s="91">
        <v>45659</v>
      </c>
      <c r="O36" s="91">
        <f>IF(ISBLANK(N36),"",EDATE(N36,24))</f>
        <v>46389</v>
      </c>
      <c r="P36" s="91">
        <v>45660</v>
      </c>
      <c r="Q36" s="91">
        <f>IF(ISBLANK(P36),"",EDATE(P36,24))-1</f>
        <v>46389</v>
      </c>
      <c r="R36" s="91">
        <v>45678</v>
      </c>
      <c r="S36" s="91">
        <f t="shared" si="30"/>
        <v>46407</v>
      </c>
      <c r="T36" s="91">
        <v>45680</v>
      </c>
      <c r="U36" s="91">
        <f>IF(ISBLANK(T36),"",EDATE(T36,24))-1</f>
        <v>46409</v>
      </c>
      <c r="V36" s="91">
        <v>45695</v>
      </c>
      <c r="W36" s="91">
        <f>IF(ISBLANK(V36),"",EDATE(V36,24))-1</f>
        <v>46424</v>
      </c>
      <c r="X36" s="91">
        <v>45685</v>
      </c>
      <c r="Y36" s="91">
        <f>IF(ISBLANK(X36),"",EDATE(X36,24))-1</f>
        <v>46414</v>
      </c>
      <c r="Z36" s="319">
        <v>45779</v>
      </c>
      <c r="AA36" s="91">
        <f>IF(ISBLANK(Z36),"",EDATE(Z36,24))-1</f>
        <v>46508</v>
      </c>
      <c r="AB36" s="317" t="s">
        <v>232</v>
      </c>
      <c r="AC36" s="317" t="s">
        <v>232</v>
      </c>
      <c r="AD36" s="319">
        <v>45795</v>
      </c>
      <c r="AE36" s="91">
        <f>IF(ISBLANK(AD36),"",EDATE(AD36,24))-1</f>
        <v>46524</v>
      </c>
      <c r="AF36" s="319">
        <v>45663</v>
      </c>
      <c r="AG36" s="91">
        <f t="shared" si="29"/>
        <v>46392</v>
      </c>
      <c r="AH36" s="91">
        <v>45673</v>
      </c>
      <c r="AI36" s="91">
        <f t="shared" si="25"/>
        <v>46402</v>
      </c>
      <c r="AJ36" s="91">
        <v>45674</v>
      </c>
      <c r="AK36" s="91">
        <f t="shared" si="24"/>
        <v>46403</v>
      </c>
      <c r="AL36" s="91">
        <v>46069</v>
      </c>
      <c r="AM36" s="91">
        <f>IF(ISBLANK(AL36),"",EDATE(AL36,12))-1</f>
        <v>46433</v>
      </c>
      <c r="AN36" s="91">
        <v>45708</v>
      </c>
      <c r="AO36" s="91">
        <f t="shared" si="6"/>
        <v>46437</v>
      </c>
      <c r="AP36" s="91">
        <v>45709</v>
      </c>
      <c r="AQ36" s="91">
        <f t="shared" si="7"/>
        <v>46438</v>
      </c>
      <c r="AR36" s="91">
        <v>45784</v>
      </c>
      <c r="AS36" s="91">
        <f t="shared" si="8"/>
        <v>46513</v>
      </c>
      <c r="AT36" s="317" t="s">
        <v>232</v>
      </c>
      <c r="AU36" s="317" t="s">
        <v>232</v>
      </c>
      <c r="AV36" s="317" t="s">
        <v>232</v>
      </c>
      <c r="AW36" s="91" t="e">
        <f t="shared" si="26"/>
        <v>#VALUE!</v>
      </c>
      <c r="AX36" s="317" t="s">
        <v>232</v>
      </c>
      <c r="AY36" s="91" t="e">
        <f t="shared" si="27"/>
        <v>#VALUE!</v>
      </c>
      <c r="AZ36" s="91" t="s">
        <v>232</v>
      </c>
      <c r="BA36" s="91" t="e">
        <f t="shared" si="12"/>
        <v>#VALUE!</v>
      </c>
      <c r="BB36" s="317" t="s">
        <v>232</v>
      </c>
      <c r="BC36" s="91" t="e">
        <f t="shared" si="31"/>
        <v>#VALUE!</v>
      </c>
      <c r="BD36" s="317" t="s">
        <v>232</v>
      </c>
      <c r="BE36" s="91" t="e">
        <f t="shared" si="28"/>
        <v>#VALUE!</v>
      </c>
      <c r="BF36" s="317" t="s">
        <v>232</v>
      </c>
      <c r="BG36" s="317" t="s">
        <v>232</v>
      </c>
      <c r="BH36" s="317" t="s">
        <v>232</v>
      </c>
      <c r="BI36" s="317" t="s">
        <v>232</v>
      </c>
      <c r="BJ36" s="317" t="s">
        <v>232</v>
      </c>
      <c r="BK36" s="317" t="s">
        <v>232</v>
      </c>
      <c r="BL36" s="91">
        <v>45667</v>
      </c>
      <c r="BM36" s="91">
        <f t="shared" si="10"/>
        <v>46396</v>
      </c>
      <c r="BN36" s="91" t="s">
        <v>232</v>
      </c>
      <c r="BO36" s="91" t="s">
        <v>232</v>
      </c>
      <c r="BP36" s="317" t="s">
        <v>232</v>
      </c>
      <c r="BQ36" s="91" t="s">
        <v>232</v>
      </c>
      <c r="BR36" s="91" t="s">
        <v>232</v>
      </c>
      <c r="BS36" s="91" t="s">
        <v>232</v>
      </c>
      <c r="BT36" s="91" t="s">
        <v>232</v>
      </c>
      <c r="BU36" s="91">
        <v>45693</v>
      </c>
      <c r="BV36" s="91">
        <v>45712</v>
      </c>
      <c r="BW36" s="91">
        <v>45696</v>
      </c>
      <c r="BX36" s="91">
        <v>45696</v>
      </c>
      <c r="BY36" s="91">
        <v>45692</v>
      </c>
      <c r="BZ36" s="91">
        <v>45724</v>
      </c>
      <c r="CA36" s="91">
        <v>45698</v>
      </c>
      <c r="CB36" s="91" t="s">
        <v>232</v>
      </c>
      <c r="CC36" s="91">
        <v>45698</v>
      </c>
      <c r="CD36" s="91">
        <v>45706</v>
      </c>
      <c r="CE36" s="91" t="s">
        <v>232</v>
      </c>
      <c r="CF36" s="91">
        <v>45720</v>
      </c>
      <c r="CG36" s="91">
        <v>45814</v>
      </c>
      <c r="CH36" s="91">
        <v>45731</v>
      </c>
      <c r="CI36" s="91">
        <v>45716</v>
      </c>
      <c r="CJ36" s="91">
        <v>45716</v>
      </c>
      <c r="CK36" s="91" t="s">
        <v>232</v>
      </c>
      <c r="CL36" s="11" t="s">
        <v>232</v>
      </c>
      <c r="CM36" s="91" t="s">
        <v>232</v>
      </c>
      <c r="CN36" s="91" t="s">
        <v>232</v>
      </c>
      <c r="CO36" s="91" t="s">
        <v>232</v>
      </c>
      <c r="CP36" s="91" t="s">
        <v>232</v>
      </c>
      <c r="CQ36" s="10">
        <v>45746</v>
      </c>
      <c r="CR36" s="10" t="s">
        <v>232</v>
      </c>
      <c r="CS36" s="10" t="s">
        <v>232</v>
      </c>
      <c r="CT36" s="10" t="s">
        <v>232</v>
      </c>
      <c r="CU36" s="11" t="s">
        <v>232</v>
      </c>
      <c r="CV36" s="11" t="s">
        <v>232</v>
      </c>
      <c r="CW36" s="11" t="s">
        <v>232</v>
      </c>
      <c r="CX36" s="11"/>
      <c r="CY36" s="11"/>
    </row>
    <row r="37" spans="2:103" ht="105.75" customHeight="1">
      <c r="B37" s="462">
        <v>33</v>
      </c>
      <c r="C37" s="464" t="s">
        <v>336</v>
      </c>
      <c r="D37" s="377" t="s">
        <v>337</v>
      </c>
      <c r="E37" s="377" t="s">
        <v>338</v>
      </c>
      <c r="F37" s="377" t="s">
        <v>339</v>
      </c>
      <c r="G37" s="440" t="s">
        <v>340</v>
      </c>
      <c r="H37" s="319">
        <v>45664</v>
      </c>
      <c r="I37" s="91">
        <f t="shared" ref="I37:I59" si="32">IF(ISBLANK(H37),"",EDATE(H37,24))-1</f>
        <v>46393</v>
      </c>
      <c r="J37" s="319">
        <v>45665</v>
      </c>
      <c r="K37" s="91">
        <f t="shared" ref="K37:K59" si="33">IF(ISBLANK(J37),"",EDATE(J37,24))-1</f>
        <v>46394</v>
      </c>
      <c r="L37" s="319">
        <v>45666</v>
      </c>
      <c r="M37" s="91">
        <f t="shared" ref="M37:M59" si="34">IF(ISBLANK(L37),"",EDATE(L37,24))-1</f>
        <v>46395</v>
      </c>
      <c r="N37" s="91">
        <v>45818</v>
      </c>
      <c r="O37" s="91">
        <f>IF(ISBLANK(N37),"",EDATE(N37,24))-1</f>
        <v>46547</v>
      </c>
      <c r="P37" s="91">
        <v>45818</v>
      </c>
      <c r="Q37" s="91">
        <f>IF(ISBLANK(P37),"",EDATE(P37,24))-1</f>
        <v>46547</v>
      </c>
      <c r="R37" s="91">
        <v>45678</v>
      </c>
      <c r="S37" s="91">
        <f t="shared" si="30"/>
        <v>46407</v>
      </c>
      <c r="T37" s="91" t="s">
        <v>231</v>
      </c>
      <c r="U37" s="91" t="s">
        <v>231</v>
      </c>
      <c r="V37" s="91" t="s">
        <v>232</v>
      </c>
      <c r="W37" s="91" t="s">
        <v>232</v>
      </c>
      <c r="X37" s="91" t="s">
        <v>231</v>
      </c>
      <c r="Y37" s="91" t="s">
        <v>231</v>
      </c>
      <c r="Z37" s="317" t="s">
        <v>232</v>
      </c>
      <c r="AA37" s="317" t="s">
        <v>232</v>
      </c>
      <c r="AB37" s="317" t="s">
        <v>232</v>
      </c>
      <c r="AC37" s="317" t="s">
        <v>232</v>
      </c>
      <c r="AD37" s="317" t="s">
        <v>232</v>
      </c>
      <c r="AE37" s="317" t="s">
        <v>232</v>
      </c>
      <c r="AF37" s="319">
        <v>45663</v>
      </c>
      <c r="AG37" s="91">
        <f t="shared" si="29"/>
        <v>46392</v>
      </c>
      <c r="AH37" s="91">
        <v>45673</v>
      </c>
      <c r="AI37" s="91">
        <f t="shared" si="25"/>
        <v>46402</v>
      </c>
      <c r="AJ37" s="91">
        <v>45674</v>
      </c>
      <c r="AK37" s="91">
        <f t="shared" si="24"/>
        <v>46403</v>
      </c>
      <c r="AL37" s="319">
        <v>45555</v>
      </c>
      <c r="AM37" s="91">
        <f>IF(ISBLANK(AL37),"",EDATE(AL37,12))-1</f>
        <v>45919</v>
      </c>
      <c r="AN37" s="91">
        <v>45617</v>
      </c>
      <c r="AO37" s="91">
        <f t="shared" ref="AO37:AO59" si="35">IF(ISBLANK(AN37),"",EDATE(AN37,24))-1</f>
        <v>46346</v>
      </c>
      <c r="AP37" s="91">
        <v>45709</v>
      </c>
      <c r="AQ37" s="91">
        <f t="shared" ref="AQ37:AQ59" si="36">IF(ISBLANK(AP37),"",EDATE(AP37,24))-1</f>
        <v>46438</v>
      </c>
      <c r="AR37" s="91">
        <v>45784</v>
      </c>
      <c r="AS37" s="91">
        <f t="shared" ref="AS37:AS59" si="37">IF(ISBLANK(AR37),"",EDATE(AR37,24))-1</f>
        <v>46513</v>
      </c>
      <c r="AT37" s="317" t="s">
        <v>232</v>
      </c>
      <c r="AU37" s="317" t="s">
        <v>232</v>
      </c>
      <c r="AV37" s="317" t="s">
        <v>232</v>
      </c>
      <c r="AW37" s="91" t="e">
        <f t="shared" si="26"/>
        <v>#VALUE!</v>
      </c>
      <c r="AX37" s="317" t="s">
        <v>232</v>
      </c>
      <c r="AY37" s="91" t="e">
        <f t="shared" si="27"/>
        <v>#VALUE!</v>
      </c>
      <c r="AZ37" s="317">
        <v>45812</v>
      </c>
      <c r="BA37" s="91">
        <f t="shared" si="12"/>
        <v>46541</v>
      </c>
      <c r="BB37" s="317" t="s">
        <v>232</v>
      </c>
      <c r="BC37" s="91" t="e">
        <f t="shared" si="31"/>
        <v>#VALUE!</v>
      </c>
      <c r="BD37" s="91">
        <v>45714</v>
      </c>
      <c r="BE37" s="91">
        <f t="shared" si="28"/>
        <v>46443</v>
      </c>
      <c r="BF37" s="317" t="s">
        <v>232</v>
      </c>
      <c r="BG37" s="317" t="s">
        <v>232</v>
      </c>
      <c r="BH37" s="317" t="s">
        <v>232</v>
      </c>
      <c r="BI37" s="317" t="s">
        <v>232</v>
      </c>
      <c r="BJ37" s="317" t="s">
        <v>232</v>
      </c>
      <c r="BK37" s="317" t="s">
        <v>232</v>
      </c>
      <c r="BL37" s="91">
        <v>45667</v>
      </c>
      <c r="BM37" s="91">
        <f t="shared" ref="BM37:BM59" si="38">IF(ISBLANK(BL37),"",EDATE(BL37,24))-1</f>
        <v>46396</v>
      </c>
      <c r="BN37" s="91" t="s">
        <v>232</v>
      </c>
      <c r="BO37" s="91" t="s">
        <v>232</v>
      </c>
      <c r="BP37" s="91" t="s">
        <v>232</v>
      </c>
      <c r="BQ37" s="91" t="s">
        <v>232</v>
      </c>
      <c r="BR37" s="91" t="s">
        <v>232</v>
      </c>
      <c r="BS37" s="91">
        <v>45685</v>
      </c>
      <c r="BT37" s="91" t="s">
        <v>232</v>
      </c>
      <c r="BU37" s="91">
        <v>45693</v>
      </c>
      <c r="BV37" s="91">
        <v>45712</v>
      </c>
      <c r="BW37" s="91">
        <v>45696</v>
      </c>
      <c r="BX37" s="91">
        <v>45696</v>
      </c>
      <c r="BY37" s="91">
        <v>45692</v>
      </c>
      <c r="BZ37" s="10">
        <v>46013</v>
      </c>
      <c r="CA37" s="91">
        <v>45698</v>
      </c>
      <c r="CB37" s="91" t="s">
        <v>232</v>
      </c>
      <c r="CC37" s="91">
        <v>45698</v>
      </c>
      <c r="CD37" s="91">
        <v>45706</v>
      </c>
      <c r="CE37" s="91" t="s">
        <v>232</v>
      </c>
      <c r="CF37" s="91">
        <v>45720</v>
      </c>
      <c r="CG37" s="91">
        <v>45814</v>
      </c>
      <c r="CH37" s="91">
        <v>45731</v>
      </c>
      <c r="CI37" s="91">
        <v>45716</v>
      </c>
      <c r="CJ37" s="91">
        <v>45716</v>
      </c>
      <c r="CK37" s="91" t="s">
        <v>232</v>
      </c>
      <c r="CL37" s="11" t="s">
        <v>232</v>
      </c>
      <c r="CM37" s="91" t="s">
        <v>232</v>
      </c>
      <c r="CN37" s="91" t="s">
        <v>232</v>
      </c>
      <c r="CO37" s="91">
        <v>45701</v>
      </c>
      <c r="CP37" s="91" t="s">
        <v>232</v>
      </c>
      <c r="CQ37" s="10">
        <v>45718</v>
      </c>
      <c r="CR37" s="10" t="s">
        <v>232</v>
      </c>
      <c r="CS37" s="10" t="s">
        <v>232</v>
      </c>
      <c r="CT37" s="10" t="s">
        <v>232</v>
      </c>
      <c r="CU37" s="11" t="s">
        <v>232</v>
      </c>
      <c r="CV37" s="11" t="s">
        <v>232</v>
      </c>
      <c r="CW37" s="11" t="s">
        <v>232</v>
      </c>
      <c r="CX37" s="11"/>
      <c r="CY37" s="11"/>
    </row>
    <row r="38" spans="2:103" ht="50.25" customHeight="1">
      <c r="B38" s="462">
        <v>34</v>
      </c>
      <c r="C38" s="464" t="s">
        <v>102</v>
      </c>
      <c r="D38" s="377" t="s">
        <v>103</v>
      </c>
      <c r="E38" s="377" t="s">
        <v>341</v>
      </c>
      <c r="F38" s="377" t="s">
        <v>339</v>
      </c>
      <c r="G38" s="439" t="s">
        <v>342</v>
      </c>
      <c r="H38" s="319">
        <v>45734</v>
      </c>
      <c r="I38" s="91">
        <f t="shared" si="32"/>
        <v>46463</v>
      </c>
      <c r="J38" s="319">
        <v>45735</v>
      </c>
      <c r="K38" s="91">
        <f t="shared" si="33"/>
        <v>46464</v>
      </c>
      <c r="L38" s="319">
        <v>45736</v>
      </c>
      <c r="M38" s="91">
        <f t="shared" si="34"/>
        <v>46465</v>
      </c>
      <c r="N38" s="91" t="s">
        <v>231</v>
      </c>
      <c r="O38" s="91" t="s">
        <v>231</v>
      </c>
      <c r="P38" s="319" t="s">
        <v>232</v>
      </c>
      <c r="Q38" s="91" t="s">
        <v>232</v>
      </c>
      <c r="R38" s="319">
        <v>45797</v>
      </c>
      <c r="S38" s="91">
        <f t="shared" si="30"/>
        <v>46526</v>
      </c>
      <c r="T38" s="317">
        <v>45825</v>
      </c>
      <c r="U38" s="91">
        <f t="shared" ref="U38:U44" si="39">IF(ISBLANK(T38),"",EDATE(T38,24))-1</f>
        <v>46554</v>
      </c>
      <c r="V38" s="91" t="s">
        <v>232</v>
      </c>
      <c r="W38" s="91" t="s">
        <v>232</v>
      </c>
      <c r="X38" s="317">
        <v>45834</v>
      </c>
      <c r="Y38" s="91">
        <f t="shared" ref="Y38:Y44" si="40">IF(ISBLANK(X38),"",EDATE(X38,24))-1</f>
        <v>46563</v>
      </c>
      <c r="Z38" s="91" t="s">
        <v>231</v>
      </c>
      <c r="AA38" s="91" t="s">
        <v>231</v>
      </c>
      <c r="AB38" s="317" t="s">
        <v>232</v>
      </c>
      <c r="AC38" s="317" t="s">
        <v>232</v>
      </c>
      <c r="AD38" s="319">
        <v>45795</v>
      </c>
      <c r="AE38" s="91">
        <f>IF(ISBLANK(AD38),"",EDATE(AD38,24))-1</f>
        <v>46524</v>
      </c>
      <c r="AF38" s="319">
        <v>45733</v>
      </c>
      <c r="AG38" s="91">
        <f t="shared" si="29"/>
        <v>46462</v>
      </c>
      <c r="AH38" s="91">
        <v>45741</v>
      </c>
      <c r="AI38" s="91">
        <f t="shared" si="25"/>
        <v>46470</v>
      </c>
      <c r="AJ38" s="91">
        <v>45744</v>
      </c>
      <c r="AK38" s="91">
        <f t="shared" si="24"/>
        <v>46473</v>
      </c>
      <c r="AL38" s="319">
        <v>45785</v>
      </c>
      <c r="AM38" s="91">
        <f>IF(ISBLANK(AL38),"",EDATE(AL38,12))-1</f>
        <v>46149</v>
      </c>
      <c r="AN38" s="91">
        <v>45786</v>
      </c>
      <c r="AO38" s="91">
        <f t="shared" si="35"/>
        <v>46515</v>
      </c>
      <c r="AP38" s="91">
        <v>45721</v>
      </c>
      <c r="AQ38" s="91">
        <f t="shared" si="36"/>
        <v>46450</v>
      </c>
      <c r="AR38" s="91">
        <v>45784</v>
      </c>
      <c r="AS38" s="91">
        <f t="shared" si="37"/>
        <v>46513</v>
      </c>
      <c r="AT38" s="91">
        <v>45835</v>
      </c>
      <c r="AU38" s="91">
        <f>IF(ISBLANK(AT38),"",EDATE(AT38,24))-1</f>
        <v>46564</v>
      </c>
      <c r="AV38" s="317" t="s">
        <v>232</v>
      </c>
      <c r="AW38" s="91" t="e">
        <f t="shared" si="26"/>
        <v>#VALUE!</v>
      </c>
      <c r="AX38" s="317" t="s">
        <v>232</v>
      </c>
      <c r="AY38" s="91" t="e">
        <f t="shared" si="27"/>
        <v>#VALUE!</v>
      </c>
      <c r="AZ38" s="91" t="s">
        <v>232</v>
      </c>
      <c r="BA38" s="91" t="e">
        <f t="shared" si="12"/>
        <v>#VALUE!</v>
      </c>
      <c r="BB38" s="317" t="s">
        <v>232</v>
      </c>
      <c r="BC38" s="91" t="e">
        <f t="shared" si="31"/>
        <v>#VALUE!</v>
      </c>
      <c r="BD38" s="317" t="s">
        <v>232</v>
      </c>
      <c r="BE38" s="91" t="e">
        <f t="shared" si="28"/>
        <v>#VALUE!</v>
      </c>
      <c r="BF38" s="91">
        <v>45715</v>
      </c>
      <c r="BG38" s="90">
        <f>IF(ISBLANK(BF38),"",EDATE(BF38,24))-1</f>
        <v>46444</v>
      </c>
      <c r="BH38" s="317" t="s">
        <v>232</v>
      </c>
      <c r="BI38" s="317" t="s">
        <v>232</v>
      </c>
      <c r="BJ38" s="317" t="s">
        <v>232</v>
      </c>
      <c r="BK38" s="317" t="s">
        <v>232</v>
      </c>
      <c r="BL38" s="91">
        <v>45737</v>
      </c>
      <c r="BM38" s="91">
        <f t="shared" si="38"/>
        <v>46466</v>
      </c>
      <c r="BN38" s="91" t="s">
        <v>232</v>
      </c>
      <c r="BO38" s="91" t="s">
        <v>232</v>
      </c>
      <c r="BP38" s="317" t="s">
        <v>232</v>
      </c>
      <c r="BQ38" s="91" t="s">
        <v>232</v>
      </c>
      <c r="BR38" s="91" t="s">
        <v>232</v>
      </c>
      <c r="BS38" s="91" t="s">
        <v>232</v>
      </c>
      <c r="BT38" s="91" t="s">
        <v>232</v>
      </c>
      <c r="BU38" s="91">
        <v>45751</v>
      </c>
      <c r="BV38" s="91">
        <v>45758</v>
      </c>
      <c r="BW38" s="91">
        <v>45754</v>
      </c>
      <c r="BX38" s="91">
        <v>45754</v>
      </c>
      <c r="BY38" s="91">
        <v>45750</v>
      </c>
      <c r="BZ38" s="10">
        <v>46013</v>
      </c>
      <c r="CA38" s="91">
        <v>45749</v>
      </c>
      <c r="CB38" s="91" t="s">
        <v>232</v>
      </c>
      <c r="CC38" s="91">
        <v>45749</v>
      </c>
      <c r="CD38" s="91">
        <v>45756</v>
      </c>
      <c r="CE38" s="91" t="s">
        <v>232</v>
      </c>
      <c r="CF38" s="91" t="s">
        <v>232</v>
      </c>
      <c r="CG38" s="91">
        <v>45814</v>
      </c>
      <c r="CH38" s="91">
        <v>45731</v>
      </c>
      <c r="CI38" s="91" t="s">
        <v>232</v>
      </c>
      <c r="CJ38" s="91" t="s">
        <v>232</v>
      </c>
      <c r="CK38" s="91" t="s">
        <v>232</v>
      </c>
      <c r="CL38" s="11" t="s">
        <v>232</v>
      </c>
      <c r="CM38" s="91" t="s">
        <v>232</v>
      </c>
      <c r="CN38" s="91" t="s">
        <v>232</v>
      </c>
      <c r="CO38" s="91">
        <v>45763</v>
      </c>
      <c r="CP38" s="91">
        <v>45764</v>
      </c>
      <c r="CQ38" s="10">
        <v>45742</v>
      </c>
      <c r="CR38" s="10" t="s">
        <v>232</v>
      </c>
      <c r="CS38" s="10">
        <v>45716</v>
      </c>
      <c r="CT38" s="10" t="s">
        <v>232</v>
      </c>
      <c r="CU38" s="11" t="s">
        <v>232</v>
      </c>
      <c r="CV38" s="11" t="s">
        <v>232</v>
      </c>
      <c r="CW38" s="11" t="s">
        <v>232</v>
      </c>
      <c r="CX38" s="11"/>
      <c r="CY38" s="11"/>
    </row>
    <row r="39" spans="2:103" ht="50.25" customHeight="1">
      <c r="B39" s="462">
        <v>35</v>
      </c>
      <c r="C39" s="464" t="s">
        <v>343</v>
      </c>
      <c r="D39" s="377" t="s">
        <v>344</v>
      </c>
      <c r="E39" s="377" t="s">
        <v>345</v>
      </c>
      <c r="F39" s="377" t="s">
        <v>253</v>
      </c>
      <c r="G39" s="441" t="s">
        <v>232</v>
      </c>
      <c r="H39" s="319">
        <v>45664</v>
      </c>
      <c r="I39" s="91">
        <f t="shared" si="32"/>
        <v>46393</v>
      </c>
      <c r="J39" s="319">
        <v>45665</v>
      </c>
      <c r="K39" s="91">
        <f t="shared" si="33"/>
        <v>46394</v>
      </c>
      <c r="L39" s="319">
        <v>45666</v>
      </c>
      <c r="M39" s="91">
        <f t="shared" si="34"/>
        <v>46395</v>
      </c>
      <c r="N39" s="91">
        <v>45659</v>
      </c>
      <c r="O39" s="91">
        <f>IF(ISBLANK(N39),"",EDATE(N39,24))</f>
        <v>46389</v>
      </c>
      <c r="P39" s="91">
        <v>45660</v>
      </c>
      <c r="Q39" s="91">
        <f t="shared" ref="Q39:Q45" si="41">IF(ISBLANK(P39),"",EDATE(P39,24))-1</f>
        <v>46389</v>
      </c>
      <c r="R39" s="91">
        <v>45678</v>
      </c>
      <c r="S39" s="91">
        <f t="shared" si="30"/>
        <v>46407</v>
      </c>
      <c r="T39" s="91">
        <v>45680</v>
      </c>
      <c r="U39" s="91">
        <f t="shared" si="39"/>
        <v>46409</v>
      </c>
      <c r="V39" s="91">
        <v>45695</v>
      </c>
      <c r="W39" s="91">
        <f>IF(ISBLANK(V39),"",EDATE(V39,24))-1</f>
        <v>46424</v>
      </c>
      <c r="X39" s="91">
        <v>45685</v>
      </c>
      <c r="Y39" s="91">
        <f t="shared" si="40"/>
        <v>46414</v>
      </c>
      <c r="Z39" s="319">
        <v>45779</v>
      </c>
      <c r="AA39" s="91">
        <f>IF(ISBLANK(Z39),"",EDATE(Z39,24))-1</f>
        <v>46508</v>
      </c>
      <c r="AB39" s="317" t="s">
        <v>232</v>
      </c>
      <c r="AC39" s="317" t="s">
        <v>232</v>
      </c>
      <c r="AD39" s="319">
        <v>45795</v>
      </c>
      <c r="AE39" s="91">
        <f>IF(ISBLANK(AD39),"",EDATE(AD39,24))-1</f>
        <v>46524</v>
      </c>
      <c r="AF39" s="319">
        <v>45663</v>
      </c>
      <c r="AG39" s="91">
        <f t="shared" si="29"/>
        <v>46392</v>
      </c>
      <c r="AH39" s="91">
        <v>45673</v>
      </c>
      <c r="AI39" s="91">
        <f t="shared" si="25"/>
        <v>46402</v>
      </c>
      <c r="AJ39" s="91">
        <v>45674</v>
      </c>
      <c r="AK39" s="91">
        <f t="shared" si="24"/>
        <v>46403</v>
      </c>
      <c r="AL39" s="319">
        <v>45785</v>
      </c>
      <c r="AM39" s="91">
        <f>IF(ISBLANK(AL39),"",EDATE(AL39,24))</f>
        <v>46515</v>
      </c>
      <c r="AN39" s="91">
        <v>45786</v>
      </c>
      <c r="AO39" s="91">
        <f t="shared" si="35"/>
        <v>46515</v>
      </c>
      <c r="AP39" s="91">
        <v>45709</v>
      </c>
      <c r="AQ39" s="91">
        <f t="shared" si="36"/>
        <v>46438</v>
      </c>
      <c r="AR39" s="91">
        <v>45784</v>
      </c>
      <c r="AS39" s="91">
        <f t="shared" si="37"/>
        <v>46513</v>
      </c>
      <c r="AT39" s="317" t="s">
        <v>232</v>
      </c>
      <c r="AU39" s="317" t="s">
        <v>232</v>
      </c>
      <c r="AV39" s="317" t="s">
        <v>232</v>
      </c>
      <c r="AW39" s="91" t="e">
        <f t="shared" si="26"/>
        <v>#VALUE!</v>
      </c>
      <c r="AX39" s="317" t="s">
        <v>232</v>
      </c>
      <c r="AY39" s="91" t="e">
        <f t="shared" si="27"/>
        <v>#VALUE!</v>
      </c>
      <c r="AZ39" s="91" t="s">
        <v>232</v>
      </c>
      <c r="BA39" s="91" t="e">
        <f t="shared" si="12"/>
        <v>#VALUE!</v>
      </c>
      <c r="BB39" s="317" t="s">
        <v>232</v>
      </c>
      <c r="BC39" s="91" t="e">
        <f t="shared" si="31"/>
        <v>#VALUE!</v>
      </c>
      <c r="BD39" s="317" t="s">
        <v>232</v>
      </c>
      <c r="BE39" s="91" t="e">
        <f t="shared" si="28"/>
        <v>#VALUE!</v>
      </c>
      <c r="BF39" s="317" t="s">
        <v>232</v>
      </c>
      <c r="BG39" s="317" t="s">
        <v>232</v>
      </c>
      <c r="BH39" s="317" t="s">
        <v>232</v>
      </c>
      <c r="BI39" s="317" t="s">
        <v>232</v>
      </c>
      <c r="BJ39" s="317" t="s">
        <v>232</v>
      </c>
      <c r="BK39" s="317" t="s">
        <v>232</v>
      </c>
      <c r="BL39" s="91">
        <v>45667</v>
      </c>
      <c r="BM39" s="91">
        <f t="shared" si="38"/>
        <v>46396</v>
      </c>
      <c r="BN39" s="91" t="s">
        <v>232</v>
      </c>
      <c r="BO39" s="91" t="s">
        <v>232</v>
      </c>
      <c r="BP39" s="91" t="s">
        <v>232</v>
      </c>
      <c r="BQ39" s="91" t="s">
        <v>232</v>
      </c>
      <c r="BR39" s="91" t="s">
        <v>232</v>
      </c>
      <c r="BS39" s="91" t="s">
        <v>232</v>
      </c>
      <c r="BT39" s="91" t="s">
        <v>232</v>
      </c>
      <c r="BU39" s="91">
        <v>45693</v>
      </c>
      <c r="BV39" s="91">
        <v>45712</v>
      </c>
      <c r="BW39" s="91">
        <v>45696</v>
      </c>
      <c r="BX39" s="91">
        <v>45696</v>
      </c>
      <c r="BY39" s="91">
        <v>45692</v>
      </c>
      <c r="BZ39" s="91">
        <v>45724</v>
      </c>
      <c r="CA39" s="91">
        <v>45698</v>
      </c>
      <c r="CB39" s="91" t="s">
        <v>232</v>
      </c>
      <c r="CC39" s="91">
        <v>45698</v>
      </c>
      <c r="CD39" s="91">
        <v>45706</v>
      </c>
      <c r="CE39" s="91" t="s">
        <v>232</v>
      </c>
      <c r="CF39" s="91">
        <v>45720</v>
      </c>
      <c r="CG39" s="91">
        <v>45814</v>
      </c>
      <c r="CH39" s="91">
        <v>45731</v>
      </c>
      <c r="CI39" s="91">
        <v>45716</v>
      </c>
      <c r="CJ39" s="91">
        <v>45716</v>
      </c>
      <c r="CK39" s="91" t="s">
        <v>232</v>
      </c>
      <c r="CL39" s="11" t="s">
        <v>232</v>
      </c>
      <c r="CM39" s="91" t="s">
        <v>232</v>
      </c>
      <c r="CN39" s="91" t="s">
        <v>232</v>
      </c>
      <c r="CO39" s="91">
        <v>45700</v>
      </c>
      <c r="CP39" s="91" t="s">
        <v>232</v>
      </c>
      <c r="CQ39" s="10" t="s">
        <v>232</v>
      </c>
      <c r="CR39" s="10">
        <v>45746</v>
      </c>
      <c r="CS39" s="10" t="s">
        <v>232</v>
      </c>
      <c r="CT39" s="10" t="s">
        <v>232</v>
      </c>
      <c r="CU39" s="11" t="s">
        <v>232</v>
      </c>
      <c r="CV39" s="11" t="s">
        <v>232</v>
      </c>
      <c r="CW39" s="11" t="s">
        <v>232</v>
      </c>
      <c r="CX39" s="11"/>
      <c r="CY39" s="11"/>
    </row>
    <row r="40" spans="2:103" ht="50.25" customHeight="1">
      <c r="B40" s="462">
        <v>36</v>
      </c>
      <c r="C40" s="464" t="s">
        <v>104</v>
      </c>
      <c r="D40" s="377" t="s">
        <v>105</v>
      </c>
      <c r="E40" s="377" t="s">
        <v>346</v>
      </c>
      <c r="F40" s="377" t="s">
        <v>347</v>
      </c>
      <c r="G40" s="442" t="s">
        <v>348</v>
      </c>
      <c r="H40" s="319">
        <v>45734</v>
      </c>
      <c r="I40" s="91">
        <f t="shared" si="32"/>
        <v>46463</v>
      </c>
      <c r="J40" s="319">
        <v>45735</v>
      </c>
      <c r="K40" s="91">
        <f t="shared" si="33"/>
        <v>46464</v>
      </c>
      <c r="L40" s="319">
        <v>45736</v>
      </c>
      <c r="M40" s="91">
        <f t="shared" si="34"/>
        <v>46465</v>
      </c>
      <c r="N40" s="91">
        <v>45818</v>
      </c>
      <c r="O40" s="91">
        <f>IF(ISBLANK(N40),"",EDATE(N40,24))-1</f>
        <v>46547</v>
      </c>
      <c r="P40" s="91">
        <v>45818</v>
      </c>
      <c r="Q40" s="91">
        <f t="shared" si="41"/>
        <v>46547</v>
      </c>
      <c r="R40" s="91" t="s">
        <v>231</v>
      </c>
      <c r="S40" s="91" t="s">
        <v>231</v>
      </c>
      <c r="T40" s="317">
        <v>45825</v>
      </c>
      <c r="U40" s="91">
        <f t="shared" si="39"/>
        <v>46554</v>
      </c>
      <c r="V40" s="91" t="s">
        <v>232</v>
      </c>
      <c r="W40" s="91" t="s">
        <v>232</v>
      </c>
      <c r="X40" s="317">
        <v>45834</v>
      </c>
      <c r="Y40" s="91">
        <f t="shared" si="40"/>
        <v>46563</v>
      </c>
      <c r="Z40" s="91" t="s">
        <v>231</v>
      </c>
      <c r="AA40" s="91" t="s">
        <v>231</v>
      </c>
      <c r="AB40" s="317" t="s">
        <v>232</v>
      </c>
      <c r="AC40" s="317" t="s">
        <v>232</v>
      </c>
      <c r="AD40" s="319">
        <v>45795</v>
      </c>
      <c r="AE40" s="91">
        <f>IF(ISBLANK(AD40),"",EDATE(AD40,24))-1</f>
        <v>46524</v>
      </c>
      <c r="AF40" s="319">
        <v>45733</v>
      </c>
      <c r="AG40" s="91">
        <f t="shared" si="29"/>
        <v>46462</v>
      </c>
      <c r="AH40" s="91">
        <v>45741</v>
      </c>
      <c r="AI40" s="91">
        <f t="shared" si="25"/>
        <v>46470</v>
      </c>
      <c r="AJ40" s="91">
        <v>45744</v>
      </c>
      <c r="AK40" s="91">
        <f t="shared" si="24"/>
        <v>46473</v>
      </c>
      <c r="AL40" s="319">
        <v>45785</v>
      </c>
      <c r="AM40" s="91">
        <f>IF(ISBLANK(AL40),"",EDATE(AL40,12))-1</f>
        <v>46149</v>
      </c>
      <c r="AN40" s="91">
        <v>45786</v>
      </c>
      <c r="AO40" s="91">
        <f t="shared" si="35"/>
        <v>46515</v>
      </c>
      <c r="AP40" s="91">
        <v>45721</v>
      </c>
      <c r="AQ40" s="91">
        <f t="shared" si="36"/>
        <v>46450</v>
      </c>
      <c r="AR40" s="91">
        <v>45784</v>
      </c>
      <c r="AS40" s="91">
        <f t="shared" si="37"/>
        <v>46513</v>
      </c>
      <c r="AT40" s="317" t="s">
        <v>232</v>
      </c>
      <c r="AU40" s="317" t="s">
        <v>232</v>
      </c>
      <c r="AV40" s="317">
        <v>46078</v>
      </c>
      <c r="AW40" s="91">
        <f t="shared" si="26"/>
        <v>46807</v>
      </c>
      <c r="AX40" s="91">
        <v>45781</v>
      </c>
      <c r="AY40" s="91">
        <f t="shared" si="27"/>
        <v>46510</v>
      </c>
      <c r="AZ40" s="91" t="s">
        <v>232</v>
      </c>
      <c r="BA40" s="91" t="e">
        <f t="shared" ref="BA40:BA59" si="42">IF(ISBLANK(AZ40),"",EDATE(AZ40,24))-1</f>
        <v>#VALUE!</v>
      </c>
      <c r="BB40" s="317" t="s">
        <v>232</v>
      </c>
      <c r="BC40" s="91" t="e">
        <f t="shared" si="31"/>
        <v>#VALUE!</v>
      </c>
      <c r="BD40" s="317" t="s">
        <v>232</v>
      </c>
      <c r="BE40" s="91" t="e">
        <f t="shared" si="28"/>
        <v>#VALUE!</v>
      </c>
      <c r="BF40" s="91">
        <v>45715</v>
      </c>
      <c r="BG40" s="90">
        <f>IF(ISBLANK(BF40),"",EDATE(BF40,24))-1</f>
        <v>46444</v>
      </c>
      <c r="BH40" s="317" t="s">
        <v>232</v>
      </c>
      <c r="BI40" s="317" t="s">
        <v>232</v>
      </c>
      <c r="BJ40" s="317" t="s">
        <v>232</v>
      </c>
      <c r="BK40" s="317" t="s">
        <v>232</v>
      </c>
      <c r="BL40" s="91">
        <v>45737</v>
      </c>
      <c r="BM40" s="91">
        <f t="shared" si="38"/>
        <v>46466</v>
      </c>
      <c r="BN40" s="91" t="s">
        <v>232</v>
      </c>
      <c r="BO40" s="91" t="s">
        <v>232</v>
      </c>
      <c r="BP40" s="317" t="s">
        <v>232</v>
      </c>
      <c r="BQ40" s="91" t="s">
        <v>232</v>
      </c>
      <c r="BR40" s="91" t="s">
        <v>232</v>
      </c>
      <c r="BS40" s="91" t="s">
        <v>232</v>
      </c>
      <c r="BT40" s="91" t="s">
        <v>232</v>
      </c>
      <c r="BU40" s="91">
        <v>45751</v>
      </c>
      <c r="BV40" s="91">
        <v>45758</v>
      </c>
      <c r="BW40" s="91">
        <v>45754</v>
      </c>
      <c r="BX40" s="91">
        <v>45754</v>
      </c>
      <c r="BY40" s="91">
        <v>45750</v>
      </c>
      <c r="BZ40" s="10">
        <v>46013</v>
      </c>
      <c r="CA40" s="91">
        <v>45749</v>
      </c>
      <c r="CB40" s="91">
        <v>45790</v>
      </c>
      <c r="CC40" s="91">
        <v>45749</v>
      </c>
      <c r="CD40" s="91">
        <v>45756</v>
      </c>
      <c r="CE40" s="91" t="s">
        <v>232</v>
      </c>
      <c r="CF40" s="91" t="s">
        <v>232</v>
      </c>
      <c r="CG40" s="91">
        <v>45814</v>
      </c>
      <c r="CH40" s="91">
        <v>45731</v>
      </c>
      <c r="CI40" s="91" t="s">
        <v>232</v>
      </c>
      <c r="CJ40" s="91" t="s">
        <v>232</v>
      </c>
      <c r="CK40" s="91" t="s">
        <v>232</v>
      </c>
      <c r="CL40" s="11" t="s">
        <v>232</v>
      </c>
      <c r="CM40" s="91" t="s">
        <v>232</v>
      </c>
      <c r="CN40" s="91" t="s">
        <v>232</v>
      </c>
      <c r="CO40" s="91">
        <v>45763</v>
      </c>
      <c r="CP40" s="91"/>
      <c r="CQ40" s="10">
        <v>45742</v>
      </c>
      <c r="CR40" s="10" t="s">
        <v>232</v>
      </c>
      <c r="CS40" s="10">
        <v>45716</v>
      </c>
      <c r="CT40" s="10" t="s">
        <v>232</v>
      </c>
      <c r="CU40" s="11">
        <v>46070</v>
      </c>
      <c r="CV40" s="11" t="s">
        <v>232</v>
      </c>
      <c r="CW40" s="11" t="s">
        <v>232</v>
      </c>
      <c r="CX40" s="11"/>
      <c r="CY40" s="10">
        <v>46017</v>
      </c>
    </row>
    <row r="41" spans="2:103" ht="88.5" customHeight="1">
      <c r="B41" s="462">
        <v>37</v>
      </c>
      <c r="C41" s="464" t="s">
        <v>349</v>
      </c>
      <c r="D41" s="377" t="s">
        <v>350</v>
      </c>
      <c r="E41" s="377" t="s">
        <v>351</v>
      </c>
      <c r="F41" s="377" t="s">
        <v>352</v>
      </c>
      <c r="G41" s="442" t="s">
        <v>353</v>
      </c>
      <c r="H41" s="319">
        <v>45664</v>
      </c>
      <c r="I41" s="91">
        <f t="shared" si="32"/>
        <v>46393</v>
      </c>
      <c r="J41" s="319">
        <v>45665</v>
      </c>
      <c r="K41" s="91">
        <f t="shared" si="33"/>
        <v>46394</v>
      </c>
      <c r="L41" s="319">
        <v>45666</v>
      </c>
      <c r="M41" s="91">
        <f t="shared" si="34"/>
        <v>46395</v>
      </c>
      <c r="N41" s="91">
        <v>45659</v>
      </c>
      <c r="O41" s="91">
        <f>IF(ISBLANK(N41),"",EDATE(N41,24))</f>
        <v>46389</v>
      </c>
      <c r="P41" s="91">
        <v>45660</v>
      </c>
      <c r="Q41" s="91">
        <f t="shared" si="41"/>
        <v>46389</v>
      </c>
      <c r="R41" s="91">
        <v>45678</v>
      </c>
      <c r="S41" s="91">
        <f>IF(ISBLANK(R41),"",EDATE(R41,24))-1</f>
        <v>46407</v>
      </c>
      <c r="T41" s="91">
        <v>45680</v>
      </c>
      <c r="U41" s="91">
        <f t="shared" si="39"/>
        <v>46409</v>
      </c>
      <c r="V41" s="91">
        <v>45695</v>
      </c>
      <c r="W41" s="91">
        <f>IF(ISBLANK(V41),"",EDATE(V41,24))-1</f>
        <v>46424</v>
      </c>
      <c r="X41" s="91">
        <v>45685</v>
      </c>
      <c r="Y41" s="91">
        <f t="shared" si="40"/>
        <v>46414</v>
      </c>
      <c r="Z41" s="317" t="s">
        <v>232</v>
      </c>
      <c r="AA41" s="317" t="s">
        <v>232</v>
      </c>
      <c r="AB41" s="317" t="s">
        <v>232</v>
      </c>
      <c r="AC41" s="317" t="s">
        <v>232</v>
      </c>
      <c r="AD41" s="317" t="s">
        <v>232</v>
      </c>
      <c r="AE41" s="317" t="s">
        <v>232</v>
      </c>
      <c r="AF41" s="319">
        <v>45663</v>
      </c>
      <c r="AG41" s="91">
        <f t="shared" si="29"/>
        <v>46392</v>
      </c>
      <c r="AH41" s="91">
        <v>45673</v>
      </c>
      <c r="AI41" s="91">
        <f t="shared" si="25"/>
        <v>46402</v>
      </c>
      <c r="AJ41" s="91">
        <v>45674</v>
      </c>
      <c r="AK41" s="91">
        <f t="shared" si="24"/>
        <v>46403</v>
      </c>
      <c r="AL41" s="91">
        <v>46069</v>
      </c>
      <c r="AM41" s="91">
        <f>IF(ISBLANK(AL41),"",EDATE(AL41,12))-1</f>
        <v>46433</v>
      </c>
      <c r="AN41" s="91">
        <v>45708</v>
      </c>
      <c r="AO41" s="91">
        <f t="shared" si="35"/>
        <v>46437</v>
      </c>
      <c r="AP41" s="91">
        <v>45709</v>
      </c>
      <c r="AQ41" s="91">
        <f t="shared" si="36"/>
        <v>46438</v>
      </c>
      <c r="AR41" s="91">
        <v>45784</v>
      </c>
      <c r="AS41" s="91">
        <f t="shared" si="37"/>
        <v>46513</v>
      </c>
      <c r="AT41" s="317" t="s">
        <v>232</v>
      </c>
      <c r="AU41" s="317" t="s">
        <v>232</v>
      </c>
      <c r="AV41" s="317" t="s">
        <v>232</v>
      </c>
      <c r="AW41" s="91" t="e">
        <f t="shared" si="26"/>
        <v>#VALUE!</v>
      </c>
      <c r="AX41" s="317" t="s">
        <v>232</v>
      </c>
      <c r="AY41" s="91" t="e">
        <f t="shared" si="27"/>
        <v>#VALUE!</v>
      </c>
      <c r="AZ41" s="317">
        <v>45812</v>
      </c>
      <c r="BA41" s="91">
        <f t="shared" si="42"/>
        <v>46541</v>
      </c>
      <c r="BB41" s="317" t="s">
        <v>232</v>
      </c>
      <c r="BC41" s="91" t="e">
        <f t="shared" si="31"/>
        <v>#VALUE!</v>
      </c>
      <c r="BD41" s="91">
        <v>45714</v>
      </c>
      <c r="BE41" s="91">
        <f t="shared" si="28"/>
        <v>46443</v>
      </c>
      <c r="BF41" s="317" t="s">
        <v>232</v>
      </c>
      <c r="BG41" s="317" t="s">
        <v>232</v>
      </c>
      <c r="BH41" s="317" t="s">
        <v>232</v>
      </c>
      <c r="BI41" s="317" t="s">
        <v>232</v>
      </c>
      <c r="BJ41" s="317" t="s">
        <v>232</v>
      </c>
      <c r="BK41" s="317" t="s">
        <v>232</v>
      </c>
      <c r="BL41" s="91">
        <v>45667</v>
      </c>
      <c r="BM41" s="91">
        <f t="shared" si="38"/>
        <v>46396</v>
      </c>
      <c r="BN41" s="91" t="s">
        <v>232</v>
      </c>
      <c r="BO41" s="91" t="s">
        <v>232</v>
      </c>
      <c r="BP41" s="91" t="s">
        <v>232</v>
      </c>
      <c r="BQ41" s="91" t="s">
        <v>232</v>
      </c>
      <c r="BR41" s="91" t="s">
        <v>232</v>
      </c>
      <c r="BS41" s="91" t="s">
        <v>232</v>
      </c>
      <c r="BT41" s="91" t="s">
        <v>232</v>
      </c>
      <c r="BU41" s="91">
        <v>45693</v>
      </c>
      <c r="BV41" s="91">
        <v>45712</v>
      </c>
      <c r="BW41" s="91">
        <v>45696</v>
      </c>
      <c r="BX41" s="91">
        <v>45696</v>
      </c>
      <c r="BY41" s="91">
        <v>45692</v>
      </c>
      <c r="BZ41" s="91">
        <v>45724</v>
      </c>
      <c r="CA41" s="91">
        <v>45698</v>
      </c>
      <c r="CB41" s="91" t="s">
        <v>232</v>
      </c>
      <c r="CC41" s="91">
        <v>45698</v>
      </c>
      <c r="CD41" s="91">
        <v>45706</v>
      </c>
      <c r="CE41" s="91" t="s">
        <v>232</v>
      </c>
      <c r="CF41" s="91">
        <v>45720</v>
      </c>
      <c r="CG41" s="91" t="s">
        <v>232</v>
      </c>
      <c r="CH41" s="91">
        <v>45731</v>
      </c>
      <c r="CI41" s="91">
        <v>45716</v>
      </c>
      <c r="CJ41" s="91">
        <v>45716</v>
      </c>
      <c r="CK41" s="91" t="s">
        <v>232</v>
      </c>
      <c r="CL41" s="11" t="s">
        <v>232</v>
      </c>
      <c r="CM41" s="91" t="s">
        <v>232</v>
      </c>
      <c r="CN41" s="91" t="s">
        <v>232</v>
      </c>
      <c r="CO41" s="91">
        <v>45699</v>
      </c>
      <c r="CP41" s="91" t="s">
        <v>232</v>
      </c>
      <c r="CQ41" s="10" t="s">
        <v>232</v>
      </c>
      <c r="CR41" s="10" t="s">
        <v>232</v>
      </c>
      <c r="CS41" s="10" t="s">
        <v>232</v>
      </c>
      <c r="CT41" s="10">
        <v>45828</v>
      </c>
      <c r="CU41" s="11" t="s">
        <v>232</v>
      </c>
      <c r="CV41" s="11" t="s">
        <v>232</v>
      </c>
      <c r="CW41" s="10">
        <v>45905</v>
      </c>
      <c r="CX41" s="10">
        <v>45953</v>
      </c>
      <c r="CY41" s="11"/>
    </row>
    <row r="42" spans="2:103" ht="99" customHeight="1">
      <c r="B42" s="462">
        <v>38</v>
      </c>
      <c r="C42" s="464" t="s">
        <v>354</v>
      </c>
      <c r="D42" s="377" t="s">
        <v>355</v>
      </c>
      <c r="E42" s="377" t="s">
        <v>356</v>
      </c>
      <c r="F42" s="377" t="s">
        <v>357</v>
      </c>
      <c r="G42" s="440" t="s">
        <v>358</v>
      </c>
      <c r="H42" s="319">
        <v>45664</v>
      </c>
      <c r="I42" s="91">
        <f t="shared" si="32"/>
        <v>46393</v>
      </c>
      <c r="J42" s="319">
        <v>45665</v>
      </c>
      <c r="K42" s="91">
        <f t="shared" si="33"/>
        <v>46394</v>
      </c>
      <c r="L42" s="319">
        <v>45666</v>
      </c>
      <c r="M42" s="91">
        <f t="shared" si="34"/>
        <v>46395</v>
      </c>
      <c r="N42" s="91">
        <v>45659</v>
      </c>
      <c r="O42" s="91">
        <f>IF(ISBLANK(N42),"",EDATE(N42,24))-1</f>
        <v>46388</v>
      </c>
      <c r="P42" s="91">
        <v>45660</v>
      </c>
      <c r="Q42" s="91">
        <f t="shared" si="41"/>
        <v>46389</v>
      </c>
      <c r="R42" s="91" t="s">
        <v>231</v>
      </c>
      <c r="S42" s="91" t="s">
        <v>231</v>
      </c>
      <c r="T42" s="91">
        <v>45680</v>
      </c>
      <c r="U42" s="91">
        <f t="shared" si="39"/>
        <v>46409</v>
      </c>
      <c r="V42" s="91">
        <v>45695</v>
      </c>
      <c r="W42" s="91">
        <f>IF(ISBLANK(V42),"",EDATE(V42,24))-1</f>
        <v>46424</v>
      </c>
      <c r="X42" s="91">
        <v>45685</v>
      </c>
      <c r="Y42" s="91">
        <f t="shared" si="40"/>
        <v>46414</v>
      </c>
      <c r="Z42" s="91" t="s">
        <v>231</v>
      </c>
      <c r="AA42" s="91" t="s">
        <v>231</v>
      </c>
      <c r="AB42" s="317" t="s">
        <v>232</v>
      </c>
      <c r="AC42" s="317" t="s">
        <v>232</v>
      </c>
      <c r="AD42" s="317" t="s">
        <v>232</v>
      </c>
      <c r="AE42" s="317" t="s">
        <v>232</v>
      </c>
      <c r="AF42" s="319">
        <v>45663</v>
      </c>
      <c r="AG42" s="91">
        <f t="shared" si="29"/>
        <v>46392</v>
      </c>
      <c r="AH42" s="91">
        <v>45673</v>
      </c>
      <c r="AI42" s="91">
        <f t="shared" si="25"/>
        <v>46402</v>
      </c>
      <c r="AJ42" s="91">
        <v>45674</v>
      </c>
      <c r="AK42" s="91">
        <f t="shared" si="24"/>
        <v>46403</v>
      </c>
      <c r="AL42" s="91">
        <v>46069</v>
      </c>
      <c r="AM42" s="91">
        <f>IF(ISBLANK(AL42),"",EDATE(AL42,12))-1</f>
        <v>46433</v>
      </c>
      <c r="AN42" s="91">
        <v>45708</v>
      </c>
      <c r="AO42" s="91">
        <f t="shared" si="35"/>
        <v>46437</v>
      </c>
      <c r="AP42" s="91">
        <v>45709</v>
      </c>
      <c r="AQ42" s="91">
        <f t="shared" si="36"/>
        <v>46438</v>
      </c>
      <c r="AR42" s="91">
        <v>45784</v>
      </c>
      <c r="AS42" s="91">
        <f t="shared" si="37"/>
        <v>46513</v>
      </c>
      <c r="AT42" s="317" t="s">
        <v>232</v>
      </c>
      <c r="AU42" s="317" t="s">
        <v>232</v>
      </c>
      <c r="AV42" s="317" t="s">
        <v>232</v>
      </c>
      <c r="AW42" s="91" t="e">
        <f t="shared" si="26"/>
        <v>#VALUE!</v>
      </c>
      <c r="AX42" s="91">
        <v>45720</v>
      </c>
      <c r="AY42" s="91">
        <f t="shared" si="27"/>
        <v>46449</v>
      </c>
      <c r="AZ42" s="91" t="s">
        <v>232</v>
      </c>
      <c r="BA42" s="91" t="e">
        <f t="shared" si="42"/>
        <v>#VALUE!</v>
      </c>
      <c r="BB42" s="317" t="s">
        <v>232</v>
      </c>
      <c r="BC42" s="91" t="e">
        <f t="shared" si="31"/>
        <v>#VALUE!</v>
      </c>
      <c r="BD42" s="317" t="s">
        <v>232</v>
      </c>
      <c r="BE42" s="91" t="e">
        <f t="shared" si="28"/>
        <v>#VALUE!</v>
      </c>
      <c r="BF42" s="317" t="s">
        <v>232</v>
      </c>
      <c r="BG42" s="317" t="s">
        <v>232</v>
      </c>
      <c r="BH42" s="317" t="s">
        <v>232</v>
      </c>
      <c r="BI42" s="317" t="s">
        <v>232</v>
      </c>
      <c r="BJ42" s="317" t="s">
        <v>232</v>
      </c>
      <c r="BK42" s="317" t="s">
        <v>232</v>
      </c>
      <c r="BL42" s="91">
        <v>45667</v>
      </c>
      <c r="BM42" s="91">
        <f t="shared" si="38"/>
        <v>46396</v>
      </c>
      <c r="BN42" s="91" t="s">
        <v>232</v>
      </c>
      <c r="BO42" s="91" t="s">
        <v>232</v>
      </c>
      <c r="BP42" s="317" t="s">
        <v>232</v>
      </c>
      <c r="BQ42" s="91" t="s">
        <v>232</v>
      </c>
      <c r="BR42" s="91" t="s">
        <v>232</v>
      </c>
      <c r="BS42" s="91" t="s">
        <v>232</v>
      </c>
      <c r="BT42" s="91" t="s">
        <v>232</v>
      </c>
      <c r="BU42" s="91">
        <v>45693</v>
      </c>
      <c r="BV42" s="91">
        <v>45712</v>
      </c>
      <c r="BW42" s="91">
        <v>45696</v>
      </c>
      <c r="BX42" s="91">
        <v>45696</v>
      </c>
      <c r="BY42" s="91">
        <v>45692</v>
      </c>
      <c r="BZ42" s="91" t="s">
        <v>232</v>
      </c>
      <c r="CA42" s="91">
        <v>45698</v>
      </c>
      <c r="CB42" s="91">
        <v>45790</v>
      </c>
      <c r="CC42" s="91">
        <v>45698</v>
      </c>
      <c r="CD42" s="91">
        <v>45706</v>
      </c>
      <c r="CE42" s="91" t="s">
        <v>232</v>
      </c>
      <c r="CF42" s="91">
        <v>45720</v>
      </c>
      <c r="CG42" s="91">
        <v>45814</v>
      </c>
      <c r="CH42" s="91" t="s">
        <v>232</v>
      </c>
      <c r="CI42" s="91">
        <v>45716</v>
      </c>
      <c r="CJ42" s="91">
        <v>45716</v>
      </c>
      <c r="CK42" s="91" t="s">
        <v>232</v>
      </c>
      <c r="CL42" s="11" t="s">
        <v>232</v>
      </c>
      <c r="CM42" s="91" t="s">
        <v>232</v>
      </c>
      <c r="CN42" s="91" t="s">
        <v>232</v>
      </c>
      <c r="CO42" s="91">
        <v>45698</v>
      </c>
      <c r="CP42" s="91" t="s">
        <v>232</v>
      </c>
      <c r="CQ42" s="10">
        <v>45785</v>
      </c>
      <c r="CR42" s="10">
        <v>45807</v>
      </c>
      <c r="CS42" s="10">
        <v>45807</v>
      </c>
      <c r="CT42" s="10" t="s">
        <v>232</v>
      </c>
      <c r="CU42" s="11">
        <v>46070</v>
      </c>
      <c r="CV42" s="11" t="s">
        <v>232</v>
      </c>
      <c r="CW42" s="10">
        <v>45905</v>
      </c>
      <c r="CX42" s="10"/>
      <c r="CY42" s="10">
        <v>46017</v>
      </c>
    </row>
    <row r="43" spans="2:103" ht="102.6" customHeight="1">
      <c r="B43" s="462">
        <v>39</v>
      </c>
      <c r="C43" s="464" t="s">
        <v>359</v>
      </c>
      <c r="D43" s="377" t="s">
        <v>360</v>
      </c>
      <c r="E43" s="377" t="s">
        <v>361</v>
      </c>
      <c r="F43" s="377" t="s">
        <v>357</v>
      </c>
      <c r="G43" s="440" t="s">
        <v>362</v>
      </c>
      <c r="H43" s="319">
        <v>45664</v>
      </c>
      <c r="I43" s="91">
        <f t="shared" si="32"/>
        <v>46393</v>
      </c>
      <c r="J43" s="319">
        <v>45665</v>
      </c>
      <c r="K43" s="91">
        <f t="shared" si="33"/>
        <v>46394</v>
      </c>
      <c r="L43" s="319">
        <v>45666</v>
      </c>
      <c r="M43" s="91">
        <f t="shared" si="34"/>
        <v>46395</v>
      </c>
      <c r="N43" s="91">
        <v>45659</v>
      </c>
      <c r="O43" s="91">
        <f>IF(ISBLANK(N43),"",EDATE(N43,24))</f>
        <v>46389</v>
      </c>
      <c r="P43" s="91">
        <v>45660</v>
      </c>
      <c r="Q43" s="91">
        <f t="shared" si="41"/>
        <v>46389</v>
      </c>
      <c r="R43" s="91" t="s">
        <v>231</v>
      </c>
      <c r="S43" s="91" t="s">
        <v>231</v>
      </c>
      <c r="T43" s="91">
        <v>45680</v>
      </c>
      <c r="U43" s="91">
        <f t="shared" si="39"/>
        <v>46409</v>
      </c>
      <c r="V43" s="91">
        <v>45695</v>
      </c>
      <c r="W43" s="91">
        <f>IF(ISBLANK(V43),"",EDATE(V43,24))-1</f>
        <v>46424</v>
      </c>
      <c r="X43" s="91">
        <v>45685</v>
      </c>
      <c r="Y43" s="91">
        <f t="shared" si="40"/>
        <v>46414</v>
      </c>
      <c r="Z43" s="91" t="s">
        <v>231</v>
      </c>
      <c r="AA43" s="91" t="s">
        <v>231</v>
      </c>
      <c r="AB43" s="317" t="s">
        <v>232</v>
      </c>
      <c r="AC43" s="317" t="s">
        <v>232</v>
      </c>
      <c r="AD43" s="317" t="s">
        <v>232</v>
      </c>
      <c r="AE43" s="317" t="s">
        <v>232</v>
      </c>
      <c r="AF43" s="319">
        <v>45663</v>
      </c>
      <c r="AG43" s="91">
        <f t="shared" si="29"/>
        <v>46392</v>
      </c>
      <c r="AH43" s="91">
        <v>45673</v>
      </c>
      <c r="AI43" s="91">
        <f t="shared" si="25"/>
        <v>46402</v>
      </c>
      <c r="AJ43" s="91">
        <v>45674</v>
      </c>
      <c r="AK43" s="91">
        <f t="shared" si="24"/>
        <v>46403</v>
      </c>
      <c r="AL43" s="91">
        <v>46069</v>
      </c>
      <c r="AM43" s="91">
        <f>IF(ISBLANK(AL43),"",EDATE(AL43,12))-1</f>
        <v>46433</v>
      </c>
      <c r="AN43" s="91">
        <v>45708</v>
      </c>
      <c r="AO43" s="91">
        <f t="shared" si="35"/>
        <v>46437</v>
      </c>
      <c r="AP43" s="91">
        <v>45709</v>
      </c>
      <c r="AQ43" s="91">
        <f t="shared" si="36"/>
        <v>46438</v>
      </c>
      <c r="AR43" s="91">
        <v>45784</v>
      </c>
      <c r="AS43" s="91">
        <f t="shared" si="37"/>
        <v>46513</v>
      </c>
      <c r="AT43" s="91">
        <v>45691</v>
      </c>
      <c r="AU43" s="91">
        <f>IF(ISBLANK(AT43),"",EDATE(AT43,24))-1</f>
        <v>46420</v>
      </c>
      <c r="AV43" s="317" t="s">
        <v>232</v>
      </c>
      <c r="AW43" s="91" t="e">
        <f t="shared" si="26"/>
        <v>#VALUE!</v>
      </c>
      <c r="AX43" s="91">
        <v>45781</v>
      </c>
      <c r="AY43" s="91">
        <f t="shared" si="27"/>
        <v>46510</v>
      </c>
      <c r="AZ43" s="91" t="s">
        <v>232</v>
      </c>
      <c r="BA43" s="91" t="e">
        <f t="shared" si="42"/>
        <v>#VALUE!</v>
      </c>
      <c r="BB43" s="317" t="s">
        <v>232</v>
      </c>
      <c r="BC43" s="91" t="e">
        <f t="shared" si="31"/>
        <v>#VALUE!</v>
      </c>
      <c r="BD43" s="317" t="s">
        <v>232</v>
      </c>
      <c r="BE43" s="91" t="e">
        <f t="shared" si="28"/>
        <v>#VALUE!</v>
      </c>
      <c r="BF43" s="317" t="s">
        <v>232</v>
      </c>
      <c r="BG43" s="317" t="s">
        <v>232</v>
      </c>
      <c r="BH43" s="317" t="s">
        <v>232</v>
      </c>
      <c r="BI43" s="317" t="s">
        <v>232</v>
      </c>
      <c r="BJ43" s="317" t="s">
        <v>232</v>
      </c>
      <c r="BK43" s="317" t="s">
        <v>232</v>
      </c>
      <c r="BL43" s="91">
        <v>45667</v>
      </c>
      <c r="BM43" s="91">
        <f t="shared" si="38"/>
        <v>46396</v>
      </c>
      <c r="BN43" s="91" t="s">
        <v>232</v>
      </c>
      <c r="BO43" s="91" t="s">
        <v>232</v>
      </c>
      <c r="BP43" s="91" t="s">
        <v>232</v>
      </c>
      <c r="BQ43" s="91" t="s">
        <v>232</v>
      </c>
      <c r="BR43" s="91" t="s">
        <v>232</v>
      </c>
      <c r="BS43" s="91" t="s">
        <v>232</v>
      </c>
      <c r="BT43" s="91" t="s">
        <v>232</v>
      </c>
      <c r="BU43" s="91">
        <v>45693</v>
      </c>
      <c r="BV43" s="91">
        <v>45712</v>
      </c>
      <c r="BW43" s="91">
        <v>45696</v>
      </c>
      <c r="BX43" s="91">
        <v>45696</v>
      </c>
      <c r="BY43" s="91">
        <v>45692</v>
      </c>
      <c r="BZ43" s="91" t="s">
        <v>232</v>
      </c>
      <c r="CA43" s="91">
        <v>45698</v>
      </c>
      <c r="CB43" s="91">
        <v>45790</v>
      </c>
      <c r="CC43" s="91">
        <v>45698</v>
      </c>
      <c r="CD43" s="91">
        <v>45706</v>
      </c>
      <c r="CE43" s="91" t="s">
        <v>232</v>
      </c>
      <c r="CF43" s="91">
        <v>45720</v>
      </c>
      <c r="CG43" s="91">
        <v>45814</v>
      </c>
      <c r="CH43" s="91">
        <v>45857</v>
      </c>
      <c r="CI43" s="91">
        <v>45716</v>
      </c>
      <c r="CJ43" s="91">
        <v>45716</v>
      </c>
      <c r="CK43" s="91" t="s">
        <v>232</v>
      </c>
      <c r="CL43" s="11" t="s">
        <v>232</v>
      </c>
      <c r="CM43" s="91" t="s">
        <v>232</v>
      </c>
      <c r="CN43" s="91" t="s">
        <v>232</v>
      </c>
      <c r="CO43" s="91">
        <v>45699</v>
      </c>
      <c r="CP43" s="91" t="s">
        <v>232</v>
      </c>
      <c r="CQ43" s="10">
        <v>45785</v>
      </c>
      <c r="CR43" s="10">
        <v>45807</v>
      </c>
      <c r="CS43" s="10">
        <v>45807</v>
      </c>
      <c r="CT43" s="10" t="s">
        <v>232</v>
      </c>
      <c r="CU43" s="11">
        <v>46070</v>
      </c>
      <c r="CV43" s="11" t="s">
        <v>232</v>
      </c>
      <c r="CW43" s="10">
        <v>45882</v>
      </c>
      <c r="CX43" s="10">
        <v>45951</v>
      </c>
      <c r="CY43" s="11"/>
    </row>
    <row r="44" spans="2:103" ht="50.25" customHeight="1">
      <c r="B44" s="462">
        <v>40</v>
      </c>
      <c r="C44" s="464" t="s">
        <v>363</v>
      </c>
      <c r="D44" s="377" t="s">
        <v>364</v>
      </c>
      <c r="E44" s="377" t="s">
        <v>365</v>
      </c>
      <c r="F44" s="377" t="s">
        <v>357</v>
      </c>
      <c r="G44" s="439" t="s">
        <v>366</v>
      </c>
      <c r="H44" s="319">
        <v>45664</v>
      </c>
      <c r="I44" s="91">
        <f t="shared" si="32"/>
        <v>46393</v>
      </c>
      <c r="J44" s="319">
        <v>45665</v>
      </c>
      <c r="K44" s="91">
        <f t="shared" si="33"/>
        <v>46394</v>
      </c>
      <c r="L44" s="319">
        <v>45666</v>
      </c>
      <c r="M44" s="91">
        <f t="shared" si="34"/>
        <v>46395</v>
      </c>
      <c r="N44" s="91">
        <v>45659</v>
      </c>
      <c r="O44" s="91">
        <f>IF(ISBLANK(N44),"",EDATE(N44,24))</f>
        <v>46389</v>
      </c>
      <c r="P44" s="91">
        <v>45660</v>
      </c>
      <c r="Q44" s="91">
        <f t="shared" si="41"/>
        <v>46389</v>
      </c>
      <c r="R44" s="91" t="s">
        <v>231</v>
      </c>
      <c r="S44" s="91" t="s">
        <v>231</v>
      </c>
      <c r="T44" s="91">
        <v>45680</v>
      </c>
      <c r="U44" s="91">
        <f t="shared" si="39"/>
        <v>46409</v>
      </c>
      <c r="V44" s="91">
        <v>45695</v>
      </c>
      <c r="W44" s="91">
        <f>IF(ISBLANK(V44),"",EDATE(V44,24))-1</f>
        <v>46424</v>
      </c>
      <c r="X44" s="91">
        <v>45685</v>
      </c>
      <c r="Y44" s="91">
        <f t="shared" si="40"/>
        <v>46414</v>
      </c>
      <c r="Z44" s="317" t="s">
        <v>232</v>
      </c>
      <c r="AA44" s="317" t="s">
        <v>232</v>
      </c>
      <c r="AB44" s="317" t="s">
        <v>232</v>
      </c>
      <c r="AC44" s="317" t="s">
        <v>232</v>
      </c>
      <c r="AD44" s="317" t="s">
        <v>232</v>
      </c>
      <c r="AE44" s="317" t="s">
        <v>232</v>
      </c>
      <c r="AF44" s="319">
        <v>45663</v>
      </c>
      <c r="AG44" s="91">
        <f t="shared" si="29"/>
        <v>46392</v>
      </c>
      <c r="AH44" s="91">
        <v>45673</v>
      </c>
      <c r="AI44" s="91">
        <f t="shared" si="25"/>
        <v>46402</v>
      </c>
      <c r="AJ44" s="91">
        <v>45674</v>
      </c>
      <c r="AK44" s="91">
        <f t="shared" si="24"/>
        <v>46403</v>
      </c>
      <c r="AL44" s="91">
        <v>46069</v>
      </c>
      <c r="AM44" s="91">
        <f>IF(ISBLANK(AL44),"",EDATE(AL44,12))-1</f>
        <v>46433</v>
      </c>
      <c r="AN44" s="91">
        <v>45708</v>
      </c>
      <c r="AO44" s="91">
        <f t="shared" si="35"/>
        <v>46437</v>
      </c>
      <c r="AP44" s="91">
        <v>45709</v>
      </c>
      <c r="AQ44" s="91">
        <f t="shared" si="36"/>
        <v>46438</v>
      </c>
      <c r="AR44" s="91" t="s">
        <v>232</v>
      </c>
      <c r="AS44" s="91" t="e">
        <f t="shared" si="37"/>
        <v>#VALUE!</v>
      </c>
      <c r="AT44" s="317" t="s">
        <v>232</v>
      </c>
      <c r="AU44" s="317" t="s">
        <v>232</v>
      </c>
      <c r="AV44" s="317" t="s">
        <v>232</v>
      </c>
      <c r="AW44" s="91" t="e">
        <f t="shared" si="26"/>
        <v>#VALUE!</v>
      </c>
      <c r="AX44" s="91">
        <v>45828</v>
      </c>
      <c r="AY44" s="91">
        <f t="shared" si="27"/>
        <v>46557</v>
      </c>
      <c r="AZ44" s="91" t="s">
        <v>232</v>
      </c>
      <c r="BA44" s="91" t="e">
        <f t="shared" si="42"/>
        <v>#VALUE!</v>
      </c>
      <c r="BB44" s="317">
        <v>46077</v>
      </c>
      <c r="BC44" s="91">
        <f t="shared" si="31"/>
        <v>46806</v>
      </c>
      <c r="BD44" s="317" t="s">
        <v>232</v>
      </c>
      <c r="BE44" s="91" t="e">
        <f t="shared" si="28"/>
        <v>#VALUE!</v>
      </c>
      <c r="BF44" s="317" t="s">
        <v>232</v>
      </c>
      <c r="BG44" s="317" t="s">
        <v>232</v>
      </c>
      <c r="BH44" s="317" t="s">
        <v>232</v>
      </c>
      <c r="BI44" s="317" t="s">
        <v>232</v>
      </c>
      <c r="BJ44" s="317" t="s">
        <v>232</v>
      </c>
      <c r="BK44" s="317" t="s">
        <v>232</v>
      </c>
      <c r="BL44" s="91">
        <v>45667</v>
      </c>
      <c r="BM44" s="91">
        <f t="shared" si="38"/>
        <v>46396</v>
      </c>
      <c r="BN44" s="91" t="s">
        <v>232</v>
      </c>
      <c r="BO44" s="91" t="s">
        <v>232</v>
      </c>
      <c r="BP44" s="91" t="s">
        <v>232</v>
      </c>
      <c r="BQ44" s="91" t="s">
        <v>232</v>
      </c>
      <c r="BR44" s="91" t="s">
        <v>232</v>
      </c>
      <c r="BS44" s="91" t="s">
        <v>232</v>
      </c>
      <c r="BT44" s="91" t="s">
        <v>232</v>
      </c>
      <c r="BU44" s="91">
        <v>45693</v>
      </c>
      <c r="BV44" s="91">
        <v>45712</v>
      </c>
      <c r="BW44" s="91">
        <v>45696</v>
      </c>
      <c r="BX44" s="91">
        <v>45696</v>
      </c>
      <c r="BY44" s="91">
        <v>45692</v>
      </c>
      <c r="BZ44" s="10">
        <v>46013</v>
      </c>
      <c r="CA44" s="91">
        <v>45698</v>
      </c>
      <c r="CB44" s="91" t="s">
        <v>232</v>
      </c>
      <c r="CC44" s="91">
        <v>45698</v>
      </c>
      <c r="CD44" s="91">
        <v>45706</v>
      </c>
      <c r="CE44" s="91" t="s">
        <v>232</v>
      </c>
      <c r="CF44" s="91">
        <v>45720</v>
      </c>
      <c r="CG44" s="91" t="s">
        <v>232</v>
      </c>
      <c r="CH44" s="91">
        <v>45731</v>
      </c>
      <c r="CI44" s="91">
        <v>45716</v>
      </c>
      <c r="CJ44" s="91">
        <v>45716</v>
      </c>
      <c r="CK44" s="91" t="s">
        <v>232</v>
      </c>
      <c r="CL44" s="11" t="s">
        <v>232</v>
      </c>
      <c r="CM44" s="91" t="s">
        <v>232</v>
      </c>
      <c r="CN44" s="91" t="s">
        <v>232</v>
      </c>
      <c r="CO44" s="91">
        <v>45700</v>
      </c>
      <c r="CP44" s="91" t="s">
        <v>232</v>
      </c>
      <c r="CQ44" s="10" t="s">
        <v>232</v>
      </c>
      <c r="CR44" s="10" t="s">
        <v>232</v>
      </c>
      <c r="CS44" s="10" t="s">
        <v>232</v>
      </c>
      <c r="CT44" s="10" t="s">
        <v>232</v>
      </c>
      <c r="CU44" s="11">
        <v>46070</v>
      </c>
      <c r="CV44" s="11" t="s">
        <v>232</v>
      </c>
      <c r="CW44" s="11" t="s">
        <v>232</v>
      </c>
      <c r="CX44" s="11"/>
      <c r="CY44" s="10">
        <v>46017</v>
      </c>
    </row>
    <row r="45" spans="2:103" ht="104.25" customHeight="1">
      <c r="B45" s="462">
        <v>41</v>
      </c>
      <c r="C45" s="464" t="s">
        <v>367</v>
      </c>
      <c r="D45" s="377" t="s">
        <v>368</v>
      </c>
      <c r="E45" s="377" t="s">
        <v>369</v>
      </c>
      <c r="F45" s="377" t="s">
        <v>339</v>
      </c>
      <c r="G45" s="440" t="s">
        <v>370</v>
      </c>
      <c r="H45" s="319">
        <v>45734</v>
      </c>
      <c r="I45" s="91">
        <f t="shared" si="32"/>
        <v>46463</v>
      </c>
      <c r="J45" s="319">
        <v>45735</v>
      </c>
      <c r="K45" s="91">
        <f t="shared" si="33"/>
        <v>46464</v>
      </c>
      <c r="L45" s="319">
        <v>45736</v>
      </c>
      <c r="M45" s="91">
        <f t="shared" si="34"/>
        <v>46465</v>
      </c>
      <c r="N45" s="91">
        <v>45818</v>
      </c>
      <c r="O45" s="91">
        <f>IF(ISBLANK(N45),"",EDATE(N45,24))-1</f>
        <v>46547</v>
      </c>
      <c r="P45" s="91">
        <v>45818</v>
      </c>
      <c r="Q45" s="91">
        <f t="shared" si="41"/>
        <v>46547</v>
      </c>
      <c r="R45" s="319">
        <v>45797</v>
      </c>
      <c r="S45" s="91">
        <f>IF(ISBLANK(R45),"",EDATE(R45,24))-1</f>
        <v>46526</v>
      </c>
      <c r="T45" s="91" t="s">
        <v>231</v>
      </c>
      <c r="U45" s="91" t="s">
        <v>231</v>
      </c>
      <c r="V45" s="91" t="s">
        <v>232</v>
      </c>
      <c r="W45" s="91" t="s">
        <v>232</v>
      </c>
      <c r="X45" s="91" t="s">
        <v>231</v>
      </c>
      <c r="Y45" s="91" t="s">
        <v>231</v>
      </c>
      <c r="Z45" s="317" t="s">
        <v>232</v>
      </c>
      <c r="AA45" s="317" t="s">
        <v>232</v>
      </c>
      <c r="AB45" s="317" t="s">
        <v>232</v>
      </c>
      <c r="AC45" s="317" t="s">
        <v>232</v>
      </c>
      <c r="AD45" s="317" t="s">
        <v>232</v>
      </c>
      <c r="AE45" s="317" t="s">
        <v>232</v>
      </c>
      <c r="AF45" s="319">
        <v>45733</v>
      </c>
      <c r="AG45" s="91">
        <f t="shared" si="29"/>
        <v>46462</v>
      </c>
      <c r="AH45" s="91">
        <v>45741</v>
      </c>
      <c r="AI45" s="91">
        <f t="shared" si="25"/>
        <v>46470</v>
      </c>
      <c r="AJ45" s="91">
        <v>45744</v>
      </c>
      <c r="AK45" s="91">
        <f t="shared" si="24"/>
        <v>46473</v>
      </c>
      <c r="AL45" s="91">
        <v>45748</v>
      </c>
      <c r="AM45" s="91">
        <f>IF(ISBLANK(AL45),"",EDATE(AL45,24))</f>
        <v>46478</v>
      </c>
      <c r="AN45" s="91">
        <v>45747</v>
      </c>
      <c r="AO45" s="91">
        <f t="shared" si="35"/>
        <v>46476</v>
      </c>
      <c r="AP45" s="91">
        <v>45761</v>
      </c>
      <c r="AQ45" s="91">
        <f t="shared" si="36"/>
        <v>46490</v>
      </c>
      <c r="AR45" s="91">
        <v>45784</v>
      </c>
      <c r="AS45" s="91">
        <f t="shared" si="37"/>
        <v>46513</v>
      </c>
      <c r="AT45" s="317" t="s">
        <v>232</v>
      </c>
      <c r="AU45" s="317" t="s">
        <v>232</v>
      </c>
      <c r="AV45" s="317" t="s">
        <v>232</v>
      </c>
      <c r="AW45" s="91" t="e">
        <f t="shared" si="26"/>
        <v>#VALUE!</v>
      </c>
      <c r="AX45" s="317" t="s">
        <v>232</v>
      </c>
      <c r="AY45" s="91" t="e">
        <f t="shared" si="27"/>
        <v>#VALUE!</v>
      </c>
      <c r="AZ45" s="317">
        <v>45812</v>
      </c>
      <c r="BA45" s="91">
        <f t="shared" si="42"/>
        <v>46541</v>
      </c>
      <c r="BB45" s="317" t="s">
        <v>232</v>
      </c>
      <c r="BC45" s="91" t="e">
        <f t="shared" si="31"/>
        <v>#VALUE!</v>
      </c>
      <c r="BD45" s="317" t="s">
        <v>232</v>
      </c>
      <c r="BE45" s="91" t="e">
        <f t="shared" si="28"/>
        <v>#VALUE!</v>
      </c>
      <c r="BF45" s="317" t="s">
        <v>232</v>
      </c>
      <c r="BG45" s="317" t="s">
        <v>232</v>
      </c>
      <c r="BH45" s="317" t="s">
        <v>232</v>
      </c>
      <c r="BI45" s="317" t="s">
        <v>232</v>
      </c>
      <c r="BJ45" s="317" t="s">
        <v>232</v>
      </c>
      <c r="BK45" s="317" t="s">
        <v>232</v>
      </c>
      <c r="BL45" s="91">
        <v>45737</v>
      </c>
      <c r="BM45" s="91">
        <f t="shared" si="38"/>
        <v>46466</v>
      </c>
      <c r="BN45" s="91" t="s">
        <v>232</v>
      </c>
      <c r="BO45" s="91" t="s">
        <v>232</v>
      </c>
      <c r="BP45" s="91" t="s">
        <v>232</v>
      </c>
      <c r="BQ45" s="91" t="s">
        <v>232</v>
      </c>
      <c r="BR45" s="91" t="s">
        <v>232</v>
      </c>
      <c r="BS45" s="91" t="s">
        <v>232</v>
      </c>
      <c r="BT45" s="91" t="s">
        <v>232</v>
      </c>
      <c r="BU45" s="91">
        <v>45751</v>
      </c>
      <c r="BV45" s="91">
        <v>45758</v>
      </c>
      <c r="BW45" s="91">
        <v>45754</v>
      </c>
      <c r="BX45" s="91">
        <v>45754</v>
      </c>
      <c r="BY45" s="91">
        <v>45750</v>
      </c>
      <c r="BZ45" s="91" t="s">
        <v>232</v>
      </c>
      <c r="CA45" s="91">
        <v>45749</v>
      </c>
      <c r="CB45" s="91" t="s">
        <v>232</v>
      </c>
      <c r="CC45" s="91">
        <v>45749</v>
      </c>
      <c r="CD45" s="91">
        <v>45756</v>
      </c>
      <c r="CE45" s="91" t="s">
        <v>232</v>
      </c>
      <c r="CF45" s="91" t="s">
        <v>232</v>
      </c>
      <c r="CG45" s="91">
        <v>45814</v>
      </c>
      <c r="CH45" s="91">
        <v>45731</v>
      </c>
      <c r="CI45" s="91" t="s">
        <v>232</v>
      </c>
      <c r="CJ45" s="91" t="s">
        <v>232</v>
      </c>
      <c r="CK45" s="91" t="s">
        <v>232</v>
      </c>
      <c r="CL45" s="11" t="s">
        <v>232</v>
      </c>
      <c r="CM45" s="91" t="s">
        <v>232</v>
      </c>
      <c r="CN45" s="91" t="s">
        <v>232</v>
      </c>
      <c r="CO45" s="91">
        <v>45745</v>
      </c>
      <c r="CP45" s="91" t="s">
        <v>232</v>
      </c>
      <c r="CQ45" s="10">
        <v>45742</v>
      </c>
      <c r="CR45" s="10" t="s">
        <v>232</v>
      </c>
      <c r="CS45" s="10" t="s">
        <v>232</v>
      </c>
      <c r="CT45" s="10" t="s">
        <v>232</v>
      </c>
      <c r="CU45" s="11" t="s">
        <v>232</v>
      </c>
      <c r="CV45" s="11" t="s">
        <v>232</v>
      </c>
      <c r="CW45" s="11" t="s">
        <v>232</v>
      </c>
      <c r="CX45" s="10">
        <v>45953</v>
      </c>
      <c r="CY45" s="11"/>
    </row>
    <row r="46" spans="2:103" ht="162.75" customHeight="1">
      <c r="B46" s="462">
        <v>42</v>
      </c>
      <c r="C46" s="464" t="s">
        <v>106</v>
      </c>
      <c r="D46" s="377" t="s">
        <v>107</v>
      </c>
      <c r="E46" s="377" t="s">
        <v>371</v>
      </c>
      <c r="F46" s="324" t="s">
        <v>372</v>
      </c>
      <c r="G46" s="442" t="s">
        <v>373</v>
      </c>
      <c r="H46" s="319">
        <v>45734</v>
      </c>
      <c r="I46" s="91">
        <f t="shared" si="32"/>
        <v>46463</v>
      </c>
      <c r="J46" s="319">
        <v>45735</v>
      </c>
      <c r="K46" s="91">
        <f t="shared" si="33"/>
        <v>46464</v>
      </c>
      <c r="L46" s="319">
        <v>45736</v>
      </c>
      <c r="M46" s="91">
        <f t="shared" si="34"/>
        <v>46465</v>
      </c>
      <c r="N46" s="91" t="s">
        <v>231</v>
      </c>
      <c r="O46" s="91" t="s">
        <v>231</v>
      </c>
      <c r="P46" s="91" t="s">
        <v>231</v>
      </c>
      <c r="Q46" s="91" t="s">
        <v>231</v>
      </c>
      <c r="R46" s="91" t="s">
        <v>231</v>
      </c>
      <c r="S46" s="91" t="s">
        <v>231</v>
      </c>
      <c r="T46" s="317">
        <v>45825</v>
      </c>
      <c r="U46" s="91">
        <f>IF(ISBLANK(T46),"",EDATE(T46,24))-1</f>
        <v>46554</v>
      </c>
      <c r="V46" s="91" t="s">
        <v>232</v>
      </c>
      <c r="W46" s="91" t="s">
        <v>232</v>
      </c>
      <c r="X46" s="317">
        <v>45834</v>
      </c>
      <c r="Y46" s="91">
        <f t="shared" ref="Y46:Y56" si="43">IF(ISBLANK(X46),"",EDATE(X46,24))-1</f>
        <v>46563</v>
      </c>
      <c r="Z46" s="317" t="s">
        <v>232</v>
      </c>
      <c r="AA46" s="317" t="s">
        <v>232</v>
      </c>
      <c r="AB46" s="319">
        <v>45819</v>
      </c>
      <c r="AC46" s="91">
        <f>IF(ISBLANK(AB46),"",EDATE(AB46,24))-1</f>
        <v>46548</v>
      </c>
      <c r="AD46" s="91" t="s">
        <v>231</v>
      </c>
      <c r="AE46" s="91" t="s">
        <v>231</v>
      </c>
      <c r="AF46" s="319">
        <v>45738</v>
      </c>
      <c r="AG46" s="91">
        <f t="shared" si="29"/>
        <v>46467</v>
      </c>
      <c r="AH46" s="91">
        <v>45741</v>
      </c>
      <c r="AI46" s="91">
        <f t="shared" si="25"/>
        <v>46470</v>
      </c>
      <c r="AJ46" s="91">
        <v>45744</v>
      </c>
      <c r="AK46" s="91">
        <f t="shared" si="24"/>
        <v>46473</v>
      </c>
      <c r="AL46" s="91">
        <v>45748</v>
      </c>
      <c r="AM46" s="91">
        <f>IF(ISBLANK(AL46),"",EDATE(AL46,12))-1</f>
        <v>46112</v>
      </c>
      <c r="AN46" s="91">
        <v>45747</v>
      </c>
      <c r="AO46" s="91">
        <f t="shared" si="35"/>
        <v>46476</v>
      </c>
      <c r="AP46" s="91">
        <v>45721</v>
      </c>
      <c r="AQ46" s="91">
        <f t="shared" si="36"/>
        <v>46450</v>
      </c>
      <c r="AR46" s="91">
        <v>45784</v>
      </c>
      <c r="AS46" s="91">
        <f t="shared" si="37"/>
        <v>46513</v>
      </c>
      <c r="AT46" s="91">
        <v>45782</v>
      </c>
      <c r="AU46" s="91">
        <f>IF(ISBLANK(AT46),"",EDATE(AT46,24))-1</f>
        <v>46511</v>
      </c>
      <c r="AV46" s="91">
        <v>45782</v>
      </c>
      <c r="AW46" s="91">
        <f t="shared" si="26"/>
        <v>46511</v>
      </c>
      <c r="AX46" s="91">
        <v>45765</v>
      </c>
      <c r="AY46" s="91">
        <f t="shared" si="27"/>
        <v>46494</v>
      </c>
      <c r="AZ46" s="319" t="s">
        <v>232</v>
      </c>
      <c r="BA46" s="91" t="e">
        <f t="shared" si="42"/>
        <v>#VALUE!</v>
      </c>
      <c r="BB46" s="317" t="s">
        <v>232</v>
      </c>
      <c r="BC46" s="91" t="e">
        <f t="shared" si="31"/>
        <v>#VALUE!</v>
      </c>
      <c r="BD46" s="317" t="s">
        <v>232</v>
      </c>
      <c r="BE46" s="91" t="e">
        <f t="shared" si="28"/>
        <v>#VALUE!</v>
      </c>
      <c r="BF46" s="317" t="s">
        <v>232</v>
      </c>
      <c r="BG46" s="317" t="s">
        <v>232</v>
      </c>
      <c r="BH46" s="91">
        <v>45786</v>
      </c>
      <c r="BI46" s="90">
        <f>IF(ISBLANK(BH46),"",EDATE(BH46,24))-1</f>
        <v>46515</v>
      </c>
      <c r="BJ46" s="317" t="s">
        <v>232</v>
      </c>
      <c r="BK46" s="317" t="s">
        <v>232</v>
      </c>
      <c r="BL46" s="91">
        <v>45737</v>
      </c>
      <c r="BM46" s="91">
        <f t="shared" si="38"/>
        <v>46466</v>
      </c>
      <c r="BN46" s="91" t="s">
        <v>232</v>
      </c>
      <c r="BO46" s="91" t="s">
        <v>232</v>
      </c>
      <c r="BP46" s="91" t="s">
        <v>232</v>
      </c>
      <c r="BQ46" s="91" t="s">
        <v>232</v>
      </c>
      <c r="BR46" s="91" t="s">
        <v>232</v>
      </c>
      <c r="BS46" s="91" t="s">
        <v>232</v>
      </c>
      <c r="BT46" s="91" t="s">
        <v>232</v>
      </c>
      <c r="BU46" s="91">
        <v>45751</v>
      </c>
      <c r="BV46" s="91">
        <v>45758</v>
      </c>
      <c r="BW46" s="91">
        <v>45754</v>
      </c>
      <c r="BX46" s="91">
        <v>45754</v>
      </c>
      <c r="BY46" s="91">
        <v>45750</v>
      </c>
      <c r="BZ46" s="10">
        <v>46013</v>
      </c>
      <c r="CA46" s="91">
        <v>45749</v>
      </c>
      <c r="CB46" s="91" t="s">
        <v>232</v>
      </c>
      <c r="CC46" s="91">
        <v>45749</v>
      </c>
      <c r="CD46" s="91">
        <v>45756</v>
      </c>
      <c r="CE46" s="91" t="s">
        <v>232</v>
      </c>
      <c r="CF46" s="91" t="s">
        <v>232</v>
      </c>
      <c r="CG46" s="91">
        <v>45814</v>
      </c>
      <c r="CH46" s="91">
        <v>45731</v>
      </c>
      <c r="CI46" s="91">
        <v>46049</v>
      </c>
      <c r="CJ46" s="91" t="s">
        <v>232</v>
      </c>
      <c r="CK46" s="91">
        <v>45810</v>
      </c>
      <c r="CL46" s="10">
        <v>45981</v>
      </c>
      <c r="CM46" s="91" t="s">
        <v>232</v>
      </c>
      <c r="CN46" s="91" t="s">
        <v>232</v>
      </c>
      <c r="CO46" s="319">
        <v>45733</v>
      </c>
      <c r="CP46" s="319"/>
      <c r="CQ46" s="10">
        <v>45742</v>
      </c>
      <c r="CR46" s="10" t="s">
        <v>232</v>
      </c>
      <c r="CS46" s="10" t="s">
        <v>232</v>
      </c>
      <c r="CT46" s="10" t="s">
        <v>232</v>
      </c>
      <c r="CU46" s="11" t="s">
        <v>232</v>
      </c>
      <c r="CV46" s="11">
        <v>45807</v>
      </c>
      <c r="CW46" s="11" t="s">
        <v>232</v>
      </c>
      <c r="CX46" s="11"/>
      <c r="CY46" s="10"/>
    </row>
    <row r="47" spans="2:103" ht="50.25" customHeight="1">
      <c r="B47" s="462">
        <v>43</v>
      </c>
      <c r="C47" s="464" t="s">
        <v>108</v>
      </c>
      <c r="D47" s="377" t="s">
        <v>109</v>
      </c>
      <c r="E47" s="377" t="s">
        <v>374</v>
      </c>
      <c r="F47" s="324" t="s">
        <v>357</v>
      </c>
      <c r="G47" s="442" t="s">
        <v>375</v>
      </c>
      <c r="H47" s="319">
        <v>45734</v>
      </c>
      <c r="I47" s="91">
        <f t="shared" si="32"/>
        <v>46463</v>
      </c>
      <c r="J47" s="319">
        <v>45735</v>
      </c>
      <c r="K47" s="91">
        <f t="shared" si="33"/>
        <v>46464</v>
      </c>
      <c r="L47" s="319">
        <v>45736</v>
      </c>
      <c r="M47" s="91">
        <f t="shared" si="34"/>
        <v>46465</v>
      </c>
      <c r="N47" s="91">
        <v>45835</v>
      </c>
      <c r="O47" s="91">
        <v>46565</v>
      </c>
      <c r="P47" s="91">
        <v>45835</v>
      </c>
      <c r="Q47" s="91">
        <f t="shared" ref="Q47:Q52" si="44">IF(ISBLANK(P47),"",EDATE(P47,24))-1</f>
        <v>46564</v>
      </c>
      <c r="R47" s="319">
        <v>45797</v>
      </c>
      <c r="S47" s="91">
        <f>IF(ISBLANK(R47),"",EDATE(R47,24))-1</f>
        <v>46526</v>
      </c>
      <c r="T47" s="317">
        <v>45825</v>
      </c>
      <c r="U47" s="91">
        <f>IF(ISBLANK(T47),"",EDATE(T47,24))-1</f>
        <v>46554</v>
      </c>
      <c r="V47" s="91" t="s">
        <v>232</v>
      </c>
      <c r="W47" s="91" t="s">
        <v>232</v>
      </c>
      <c r="X47" s="91">
        <v>45834</v>
      </c>
      <c r="Y47" s="91">
        <f t="shared" si="43"/>
        <v>46563</v>
      </c>
      <c r="Z47" s="317" t="s">
        <v>232</v>
      </c>
      <c r="AA47" s="317" t="s">
        <v>232</v>
      </c>
      <c r="AB47" s="319" t="s">
        <v>376</v>
      </c>
      <c r="AC47" s="91" t="s">
        <v>231</v>
      </c>
      <c r="AD47" s="317" t="s">
        <v>232</v>
      </c>
      <c r="AE47" s="317" t="s">
        <v>232</v>
      </c>
      <c r="AF47" s="319">
        <v>45733</v>
      </c>
      <c r="AG47" s="91">
        <f t="shared" si="29"/>
        <v>46462</v>
      </c>
      <c r="AH47" s="91">
        <v>45741</v>
      </c>
      <c r="AI47" s="91">
        <f t="shared" si="25"/>
        <v>46470</v>
      </c>
      <c r="AJ47" s="91">
        <v>45744</v>
      </c>
      <c r="AK47" s="91">
        <f t="shared" si="24"/>
        <v>46473</v>
      </c>
      <c r="AL47" s="91">
        <v>45748</v>
      </c>
      <c r="AM47" s="91">
        <f>IF(ISBLANK(AL47),"",EDATE(AL47,12))-1</f>
        <v>46112</v>
      </c>
      <c r="AN47" s="91">
        <v>45747</v>
      </c>
      <c r="AO47" s="91">
        <f t="shared" si="35"/>
        <v>46476</v>
      </c>
      <c r="AP47" s="91">
        <v>45721</v>
      </c>
      <c r="AQ47" s="91">
        <f t="shared" si="36"/>
        <v>46450</v>
      </c>
      <c r="AR47" s="91">
        <v>45784</v>
      </c>
      <c r="AS47" s="91">
        <f t="shared" si="37"/>
        <v>46513</v>
      </c>
      <c r="AT47" s="91">
        <v>45782</v>
      </c>
      <c r="AU47" s="91">
        <f>IF(ISBLANK(AT47),"",EDATE(AT47,24))-1</f>
        <v>46511</v>
      </c>
      <c r="AV47" s="91" t="s">
        <v>232</v>
      </c>
      <c r="AW47" s="91" t="e">
        <f t="shared" si="26"/>
        <v>#VALUE!</v>
      </c>
      <c r="AX47" s="317" t="s">
        <v>232</v>
      </c>
      <c r="AY47" s="91" t="e">
        <f t="shared" si="27"/>
        <v>#VALUE!</v>
      </c>
      <c r="AZ47" s="317" t="s">
        <v>232</v>
      </c>
      <c r="BA47" s="91" t="e">
        <f t="shared" si="42"/>
        <v>#VALUE!</v>
      </c>
      <c r="BB47" s="317" t="s">
        <v>232</v>
      </c>
      <c r="BC47" s="91" t="e">
        <f t="shared" si="31"/>
        <v>#VALUE!</v>
      </c>
      <c r="BD47" s="317" t="s">
        <v>232</v>
      </c>
      <c r="BE47" s="91" t="e">
        <f t="shared" si="28"/>
        <v>#VALUE!</v>
      </c>
      <c r="BF47" s="317" t="s">
        <v>232</v>
      </c>
      <c r="BG47" s="317" t="s">
        <v>232</v>
      </c>
      <c r="BH47" s="317" t="s">
        <v>232</v>
      </c>
      <c r="BI47" s="317" t="s">
        <v>232</v>
      </c>
      <c r="BJ47" s="91">
        <v>45792</v>
      </c>
      <c r="BK47" s="91">
        <f>IF(ISBLANK(BJ47),"",EDATE(BJ47,24))</f>
        <v>46522</v>
      </c>
      <c r="BL47" s="91">
        <v>45737</v>
      </c>
      <c r="BM47" s="91">
        <f t="shared" si="38"/>
        <v>46466</v>
      </c>
      <c r="BN47" s="91" t="s">
        <v>232</v>
      </c>
      <c r="BO47" s="91" t="s">
        <v>232</v>
      </c>
      <c r="BP47" s="91" t="s">
        <v>232</v>
      </c>
      <c r="BQ47" s="91" t="s">
        <v>232</v>
      </c>
      <c r="BR47" s="91" t="s">
        <v>232</v>
      </c>
      <c r="BS47" s="91" t="s">
        <v>232</v>
      </c>
      <c r="BT47" s="91" t="s">
        <v>232</v>
      </c>
      <c r="BU47" s="91">
        <v>45751</v>
      </c>
      <c r="BV47" s="91">
        <v>45758</v>
      </c>
      <c r="BW47" s="91">
        <v>45754</v>
      </c>
      <c r="BX47" s="91">
        <v>45754</v>
      </c>
      <c r="BY47" s="91">
        <v>45750</v>
      </c>
      <c r="BZ47" s="10">
        <v>46013</v>
      </c>
      <c r="CA47" s="91">
        <v>45749</v>
      </c>
      <c r="CB47" s="91" t="s">
        <v>232</v>
      </c>
      <c r="CC47" s="91">
        <v>45749</v>
      </c>
      <c r="CD47" s="91">
        <v>45756</v>
      </c>
      <c r="CE47" s="91" t="s">
        <v>232</v>
      </c>
      <c r="CF47" s="91" t="s">
        <v>232</v>
      </c>
      <c r="CG47" s="91" t="s">
        <v>232</v>
      </c>
      <c r="CH47" s="91" t="s">
        <v>232</v>
      </c>
      <c r="CI47" s="91" t="s">
        <v>232</v>
      </c>
      <c r="CJ47" s="91" t="s">
        <v>232</v>
      </c>
      <c r="CK47" s="91" t="s">
        <v>232</v>
      </c>
      <c r="CL47" s="11" t="s">
        <v>232</v>
      </c>
      <c r="CM47" s="91" t="s">
        <v>232</v>
      </c>
      <c r="CN47" s="91" t="s">
        <v>232</v>
      </c>
      <c r="CO47" s="91">
        <v>45891</v>
      </c>
      <c r="CP47" s="91" t="s">
        <v>232</v>
      </c>
      <c r="CQ47" s="10">
        <v>45742</v>
      </c>
      <c r="CR47" s="10" t="s">
        <v>232</v>
      </c>
      <c r="CS47" s="10" t="s">
        <v>232</v>
      </c>
      <c r="CT47" s="10" t="s">
        <v>232</v>
      </c>
      <c r="CU47" s="11" t="s">
        <v>232</v>
      </c>
      <c r="CV47" s="11">
        <v>45807</v>
      </c>
      <c r="CW47" s="11" t="s">
        <v>232</v>
      </c>
      <c r="CX47" s="11"/>
      <c r="CY47" s="11"/>
    </row>
    <row r="48" spans="2:103" ht="50.25" customHeight="1">
      <c r="B48" s="462">
        <v>44</v>
      </c>
      <c r="C48" s="464" t="s">
        <v>377</v>
      </c>
      <c r="D48" s="377" t="s">
        <v>378</v>
      </c>
      <c r="E48" s="377" t="s">
        <v>379</v>
      </c>
      <c r="F48" s="324" t="s">
        <v>357</v>
      </c>
      <c r="G48" s="443" t="s">
        <v>380</v>
      </c>
      <c r="H48" s="319">
        <v>45734</v>
      </c>
      <c r="I48" s="91">
        <f t="shared" si="32"/>
        <v>46463</v>
      </c>
      <c r="J48" s="319">
        <v>45735</v>
      </c>
      <c r="K48" s="91">
        <f t="shared" si="33"/>
        <v>46464</v>
      </c>
      <c r="L48" s="319">
        <v>45736</v>
      </c>
      <c r="M48" s="91">
        <f t="shared" si="34"/>
        <v>46465</v>
      </c>
      <c r="N48" s="91">
        <v>45818</v>
      </c>
      <c r="O48" s="91">
        <f>IF(ISBLANK(N48),"",EDATE(N48,24))-1</f>
        <v>46547</v>
      </c>
      <c r="P48" s="91">
        <v>45818</v>
      </c>
      <c r="Q48" s="91">
        <f t="shared" si="44"/>
        <v>46547</v>
      </c>
      <c r="R48" s="91" t="s">
        <v>231</v>
      </c>
      <c r="S48" s="91" t="s">
        <v>231</v>
      </c>
      <c r="T48" s="317">
        <v>45825</v>
      </c>
      <c r="U48" s="91">
        <f>IF(ISBLANK(T48),"",EDATE(T48,24))-1</f>
        <v>46554</v>
      </c>
      <c r="V48" s="91" t="s">
        <v>232</v>
      </c>
      <c r="W48" s="91" t="s">
        <v>232</v>
      </c>
      <c r="X48" s="317">
        <v>45834</v>
      </c>
      <c r="Y48" s="91">
        <f t="shared" si="43"/>
        <v>46563</v>
      </c>
      <c r="Z48" s="317" t="s">
        <v>232</v>
      </c>
      <c r="AA48" s="317" t="s">
        <v>232</v>
      </c>
      <c r="AB48" s="383" t="s">
        <v>232</v>
      </c>
      <c r="AC48" s="317" t="s">
        <v>232</v>
      </c>
      <c r="AD48" s="317" t="s">
        <v>232</v>
      </c>
      <c r="AE48" s="317" t="s">
        <v>232</v>
      </c>
      <c r="AF48" s="319">
        <v>45733</v>
      </c>
      <c r="AG48" s="91">
        <f t="shared" si="29"/>
        <v>46462</v>
      </c>
      <c r="AH48" s="91">
        <v>45741</v>
      </c>
      <c r="AI48" s="91">
        <f t="shared" si="25"/>
        <v>46470</v>
      </c>
      <c r="AJ48" s="91">
        <v>45744</v>
      </c>
      <c r="AK48" s="91">
        <f t="shared" si="24"/>
        <v>46473</v>
      </c>
      <c r="AL48" s="91">
        <v>45748</v>
      </c>
      <c r="AM48" s="91">
        <f>IF(ISBLANK(AL48),"",EDATE(AL48,24))</f>
        <v>46478</v>
      </c>
      <c r="AN48" s="91">
        <v>45747</v>
      </c>
      <c r="AO48" s="91">
        <f t="shared" si="35"/>
        <v>46476</v>
      </c>
      <c r="AP48" s="91">
        <v>45790</v>
      </c>
      <c r="AQ48" s="91">
        <f t="shared" si="36"/>
        <v>46519</v>
      </c>
      <c r="AR48" s="91">
        <v>45784</v>
      </c>
      <c r="AS48" s="91">
        <f t="shared" si="37"/>
        <v>46513</v>
      </c>
      <c r="AT48" s="317" t="s">
        <v>232</v>
      </c>
      <c r="AU48" s="317" t="s">
        <v>232</v>
      </c>
      <c r="AV48" s="317" t="s">
        <v>232</v>
      </c>
      <c r="AW48" s="91" t="e">
        <f t="shared" si="26"/>
        <v>#VALUE!</v>
      </c>
      <c r="AX48" s="91">
        <v>45781</v>
      </c>
      <c r="AY48" s="91">
        <f t="shared" si="27"/>
        <v>46510</v>
      </c>
      <c r="AZ48" s="317" t="s">
        <v>232</v>
      </c>
      <c r="BA48" s="91" t="e">
        <f t="shared" si="42"/>
        <v>#VALUE!</v>
      </c>
      <c r="BB48" s="317" t="s">
        <v>232</v>
      </c>
      <c r="BC48" s="91" t="e">
        <f t="shared" si="31"/>
        <v>#VALUE!</v>
      </c>
      <c r="BD48" s="317" t="s">
        <v>232</v>
      </c>
      <c r="BE48" s="91" t="e">
        <f t="shared" si="28"/>
        <v>#VALUE!</v>
      </c>
      <c r="BF48" s="317" t="s">
        <v>232</v>
      </c>
      <c r="BG48" s="317" t="s">
        <v>232</v>
      </c>
      <c r="BH48" s="317" t="s">
        <v>232</v>
      </c>
      <c r="BI48" s="317" t="s">
        <v>232</v>
      </c>
      <c r="BJ48" s="317" t="s">
        <v>232</v>
      </c>
      <c r="BK48" s="317" t="s">
        <v>232</v>
      </c>
      <c r="BL48" s="91">
        <v>45737</v>
      </c>
      <c r="BM48" s="91">
        <f t="shared" si="38"/>
        <v>46466</v>
      </c>
      <c r="BN48" s="91" t="s">
        <v>232</v>
      </c>
      <c r="BO48" s="91" t="s">
        <v>232</v>
      </c>
      <c r="BP48" s="91"/>
      <c r="BQ48" s="91" t="s">
        <v>232</v>
      </c>
      <c r="BR48" s="91" t="s">
        <v>232</v>
      </c>
      <c r="BS48" s="91" t="s">
        <v>232</v>
      </c>
      <c r="BT48" s="91" t="s">
        <v>232</v>
      </c>
      <c r="BU48" s="91">
        <v>45751</v>
      </c>
      <c r="BV48" s="91">
        <v>45758</v>
      </c>
      <c r="BW48" s="91">
        <v>45754</v>
      </c>
      <c r="BX48" s="91">
        <v>45754</v>
      </c>
      <c r="BY48" s="91">
        <v>45750</v>
      </c>
      <c r="BZ48" s="91" t="s">
        <v>232</v>
      </c>
      <c r="CA48" s="91">
        <v>45749</v>
      </c>
      <c r="CB48" s="91" t="s">
        <v>232</v>
      </c>
      <c r="CC48" s="91">
        <v>45749</v>
      </c>
      <c r="CD48" s="91">
        <v>45756</v>
      </c>
      <c r="CE48" s="91" t="s">
        <v>232</v>
      </c>
      <c r="CF48" s="91" t="s">
        <v>232</v>
      </c>
      <c r="CG48" s="91" t="s">
        <v>232</v>
      </c>
      <c r="CH48" s="91" t="s">
        <v>232</v>
      </c>
      <c r="CI48" s="91">
        <v>46049</v>
      </c>
      <c r="CJ48" s="91" t="s">
        <v>232</v>
      </c>
      <c r="CK48" s="91" t="s">
        <v>232</v>
      </c>
      <c r="CL48" s="11" t="s">
        <v>232</v>
      </c>
      <c r="CM48" s="91" t="s">
        <v>232</v>
      </c>
      <c r="CN48" s="91" t="s">
        <v>232</v>
      </c>
      <c r="CO48" s="91">
        <v>45891</v>
      </c>
      <c r="CP48" s="91" t="s">
        <v>232</v>
      </c>
      <c r="CQ48" s="10">
        <v>45742</v>
      </c>
      <c r="CR48" s="10">
        <v>45742</v>
      </c>
      <c r="CS48" s="10" t="s">
        <v>232</v>
      </c>
      <c r="CT48" s="10" t="s">
        <v>232</v>
      </c>
      <c r="CU48" s="11">
        <v>46070</v>
      </c>
      <c r="CV48" s="11">
        <v>45807</v>
      </c>
      <c r="CW48" s="10">
        <v>45907</v>
      </c>
      <c r="CX48" s="10"/>
      <c r="CY48" s="10">
        <v>46017</v>
      </c>
    </row>
    <row r="49" spans="2:103" ht="50.25" customHeight="1">
      <c r="B49" s="462">
        <v>45</v>
      </c>
      <c r="C49" s="464" t="s">
        <v>381</v>
      </c>
      <c r="D49" s="377" t="s">
        <v>382</v>
      </c>
      <c r="E49" s="377" t="s">
        <v>383</v>
      </c>
      <c r="F49" s="324" t="s">
        <v>384</v>
      </c>
      <c r="G49" s="441" t="s">
        <v>232</v>
      </c>
      <c r="H49" s="319">
        <v>45792</v>
      </c>
      <c r="I49" s="91">
        <f t="shared" si="32"/>
        <v>46521</v>
      </c>
      <c r="J49" s="319">
        <v>45826</v>
      </c>
      <c r="K49" s="91">
        <f t="shared" si="33"/>
        <v>46555</v>
      </c>
      <c r="L49" s="91">
        <v>45827</v>
      </c>
      <c r="M49" s="91">
        <f t="shared" si="34"/>
        <v>46556</v>
      </c>
      <c r="N49" s="91">
        <v>45818</v>
      </c>
      <c r="O49" s="91">
        <f>IF(ISBLANK(N49),"",EDATE(N49,24))-1</f>
        <v>46547</v>
      </c>
      <c r="P49" s="91">
        <v>45818</v>
      </c>
      <c r="Q49" s="91">
        <f t="shared" si="44"/>
        <v>46547</v>
      </c>
      <c r="R49" s="319">
        <v>45797</v>
      </c>
      <c r="S49" s="91">
        <f t="shared" ref="S49:S58" si="45">IF(ISBLANK(R49),"",EDATE(R49,24))-1</f>
        <v>46526</v>
      </c>
      <c r="T49" s="317">
        <v>45825</v>
      </c>
      <c r="U49" s="91">
        <f>IF(ISBLANK(T49),"",EDATE(T49,24))-1</f>
        <v>46554</v>
      </c>
      <c r="V49" s="91">
        <v>45804</v>
      </c>
      <c r="W49" s="91">
        <f>IF(ISBLANK(V49),"",EDATE(V49,24))-1</f>
        <v>46533</v>
      </c>
      <c r="X49" s="317">
        <v>45834</v>
      </c>
      <c r="Y49" s="91">
        <f t="shared" si="43"/>
        <v>46563</v>
      </c>
      <c r="Z49" s="317" t="s">
        <v>232</v>
      </c>
      <c r="AA49" s="317" t="s">
        <v>232</v>
      </c>
      <c r="AB49" s="319">
        <v>45849</v>
      </c>
      <c r="AC49" s="91">
        <f>IF(ISBLANK(AB49),"",EDATE(AB49,24))-1</f>
        <v>46578</v>
      </c>
      <c r="AD49" s="317" t="s">
        <v>232</v>
      </c>
      <c r="AE49" s="317" t="s">
        <v>232</v>
      </c>
      <c r="AF49" s="319">
        <v>45784</v>
      </c>
      <c r="AG49" s="91">
        <f t="shared" si="29"/>
        <v>46513</v>
      </c>
      <c r="AH49" s="319">
        <v>45820</v>
      </c>
      <c r="AI49" s="91">
        <f t="shared" si="25"/>
        <v>46549</v>
      </c>
      <c r="AJ49" s="91">
        <v>45791</v>
      </c>
      <c r="AK49" s="91">
        <f t="shared" si="24"/>
        <v>46520</v>
      </c>
      <c r="AL49" s="91">
        <v>45785</v>
      </c>
      <c r="AM49" s="91">
        <f>IF(ISBLANK(AL49),"",EDATE(AL49,24))</f>
        <v>46515</v>
      </c>
      <c r="AN49" s="91">
        <v>45786</v>
      </c>
      <c r="AO49" s="91">
        <f t="shared" si="35"/>
        <v>46515</v>
      </c>
      <c r="AP49" s="91">
        <v>45790</v>
      </c>
      <c r="AQ49" s="91">
        <f t="shared" si="36"/>
        <v>46519</v>
      </c>
      <c r="AR49" s="91">
        <v>45783</v>
      </c>
      <c r="AS49" s="91">
        <f t="shared" si="37"/>
        <v>46512</v>
      </c>
      <c r="AT49" s="91" t="s">
        <v>232</v>
      </c>
      <c r="AU49" s="317" t="s">
        <v>232</v>
      </c>
      <c r="AV49" s="91" t="s">
        <v>232</v>
      </c>
      <c r="AW49" s="91" t="e">
        <f t="shared" si="26"/>
        <v>#VALUE!</v>
      </c>
      <c r="AX49" s="317" t="s">
        <v>232</v>
      </c>
      <c r="AY49" s="91" t="e">
        <f t="shared" si="27"/>
        <v>#VALUE!</v>
      </c>
      <c r="AZ49" s="317" t="s">
        <v>232</v>
      </c>
      <c r="BA49" s="91" t="e">
        <f t="shared" si="42"/>
        <v>#VALUE!</v>
      </c>
      <c r="BB49" s="91" t="s">
        <v>232</v>
      </c>
      <c r="BC49" s="91" t="e">
        <f t="shared" si="31"/>
        <v>#VALUE!</v>
      </c>
      <c r="BD49" s="91" t="s">
        <v>232</v>
      </c>
      <c r="BE49" s="91" t="e">
        <f t="shared" si="28"/>
        <v>#VALUE!</v>
      </c>
      <c r="BF49" s="91" t="s">
        <v>232</v>
      </c>
      <c r="BG49" s="91" t="s">
        <v>232</v>
      </c>
      <c r="BH49" s="317" t="s">
        <v>232</v>
      </c>
      <c r="BI49" s="317" t="s">
        <v>232</v>
      </c>
      <c r="BJ49" s="317" t="s">
        <v>232</v>
      </c>
      <c r="BK49" s="317" t="s">
        <v>232</v>
      </c>
      <c r="BL49" s="91">
        <v>45793</v>
      </c>
      <c r="BM49" s="91">
        <f t="shared" si="38"/>
        <v>46522</v>
      </c>
      <c r="BN49" s="91" t="s">
        <v>232</v>
      </c>
      <c r="BO49" s="91" t="s">
        <v>232</v>
      </c>
      <c r="BP49" s="91" t="s">
        <v>232</v>
      </c>
      <c r="BQ49" s="91" t="s">
        <v>232</v>
      </c>
      <c r="BR49" s="91" t="s">
        <v>232</v>
      </c>
      <c r="BS49" s="91" t="s">
        <v>232</v>
      </c>
      <c r="BT49" s="91" t="s">
        <v>232</v>
      </c>
      <c r="BU49" s="91" t="s">
        <v>232</v>
      </c>
      <c r="BV49" s="91" t="s">
        <v>232</v>
      </c>
      <c r="BW49" s="91" t="s">
        <v>232</v>
      </c>
      <c r="BX49" s="91" t="s">
        <v>232</v>
      </c>
      <c r="BY49" s="91" t="s">
        <v>232</v>
      </c>
      <c r="BZ49" s="91" t="s">
        <v>232</v>
      </c>
      <c r="CA49" s="91" t="s">
        <v>232</v>
      </c>
      <c r="CB49" s="91" t="s">
        <v>232</v>
      </c>
      <c r="CC49" s="91" t="s">
        <v>232</v>
      </c>
      <c r="CD49" s="91" t="s">
        <v>232</v>
      </c>
      <c r="CE49" s="91" t="s">
        <v>232</v>
      </c>
      <c r="CF49" s="91" t="s">
        <v>232</v>
      </c>
      <c r="CG49" s="91" t="s">
        <v>232</v>
      </c>
      <c r="CH49" s="91" t="s">
        <v>232</v>
      </c>
      <c r="CI49" s="91" t="s">
        <v>232</v>
      </c>
      <c r="CJ49" s="91" t="s">
        <v>232</v>
      </c>
      <c r="CK49" s="91" t="s">
        <v>232</v>
      </c>
      <c r="CL49" s="11" t="s">
        <v>232</v>
      </c>
      <c r="CM49" s="91" t="s">
        <v>232</v>
      </c>
      <c r="CN49" s="91" t="s">
        <v>232</v>
      </c>
      <c r="CO49" s="91">
        <v>45891</v>
      </c>
      <c r="CP49" s="91" t="s">
        <v>232</v>
      </c>
      <c r="CQ49" s="10" t="s">
        <v>232</v>
      </c>
      <c r="CR49" s="10" t="s">
        <v>232</v>
      </c>
      <c r="CS49" s="10" t="s">
        <v>232</v>
      </c>
      <c r="CT49" s="10" t="s">
        <v>232</v>
      </c>
      <c r="CU49" s="11" t="s">
        <v>232</v>
      </c>
      <c r="CV49" s="11">
        <v>45807</v>
      </c>
      <c r="CW49" s="11" t="s">
        <v>232</v>
      </c>
      <c r="CX49" s="11"/>
      <c r="CY49" s="11"/>
    </row>
    <row r="50" spans="2:103" ht="104.25" customHeight="1">
      <c r="B50" s="462">
        <v>46</v>
      </c>
      <c r="C50" s="464" t="s">
        <v>385</v>
      </c>
      <c r="D50" s="377" t="s">
        <v>386</v>
      </c>
      <c r="E50" s="377" t="s">
        <v>387</v>
      </c>
      <c r="F50" s="324" t="s">
        <v>388</v>
      </c>
      <c r="G50" s="442" t="s">
        <v>389</v>
      </c>
      <c r="H50" s="319">
        <v>45792</v>
      </c>
      <c r="I50" s="91">
        <f t="shared" si="32"/>
        <v>46521</v>
      </c>
      <c r="J50" s="319">
        <v>45735</v>
      </c>
      <c r="K50" s="91">
        <f t="shared" si="33"/>
        <v>46464</v>
      </c>
      <c r="L50" s="319">
        <v>45736</v>
      </c>
      <c r="M50" s="91">
        <f t="shared" si="34"/>
        <v>46465</v>
      </c>
      <c r="N50" s="91">
        <v>45818</v>
      </c>
      <c r="O50" s="91">
        <f>IF(ISBLANK(N50),"",EDATE(N50,24))-1</f>
        <v>46547</v>
      </c>
      <c r="P50" s="91">
        <v>45818</v>
      </c>
      <c r="Q50" s="91">
        <f t="shared" si="44"/>
        <v>46547</v>
      </c>
      <c r="R50" s="319">
        <v>45797</v>
      </c>
      <c r="S50" s="91">
        <f t="shared" si="45"/>
        <v>46526</v>
      </c>
      <c r="T50" s="91" t="s">
        <v>231</v>
      </c>
      <c r="U50" s="91" t="s">
        <v>231</v>
      </c>
      <c r="V50" s="91" t="s">
        <v>231</v>
      </c>
      <c r="W50" s="91" t="s">
        <v>231</v>
      </c>
      <c r="X50" s="317">
        <v>45834</v>
      </c>
      <c r="Y50" s="91">
        <f t="shared" si="43"/>
        <v>46563</v>
      </c>
      <c r="Z50" s="317" t="s">
        <v>232</v>
      </c>
      <c r="AA50" s="317" t="s">
        <v>232</v>
      </c>
      <c r="AB50" s="319">
        <v>45849</v>
      </c>
      <c r="AC50" s="91">
        <f>IF(ISBLANK(AB50),"",EDATE(AB50,24))-1</f>
        <v>46578</v>
      </c>
      <c r="AD50" s="317" t="s">
        <v>232</v>
      </c>
      <c r="AE50" s="317" t="s">
        <v>232</v>
      </c>
      <c r="AF50" s="319">
        <v>45784</v>
      </c>
      <c r="AG50" s="91">
        <f t="shared" si="29"/>
        <v>46513</v>
      </c>
      <c r="AH50" s="91">
        <v>45741</v>
      </c>
      <c r="AI50" s="91">
        <f t="shared" si="25"/>
        <v>46470</v>
      </c>
      <c r="AJ50" s="91">
        <v>45744</v>
      </c>
      <c r="AK50" s="91">
        <f t="shared" si="24"/>
        <v>46473</v>
      </c>
      <c r="AL50" s="91">
        <v>45748</v>
      </c>
      <c r="AM50" s="91">
        <f>IF(ISBLANK(AL50),"",EDATE(AL50,24))</f>
        <v>46478</v>
      </c>
      <c r="AN50" s="91">
        <v>45747</v>
      </c>
      <c r="AO50" s="91">
        <f t="shared" si="35"/>
        <v>46476</v>
      </c>
      <c r="AP50" s="91">
        <v>45790</v>
      </c>
      <c r="AQ50" s="91">
        <f t="shared" si="36"/>
        <v>46519</v>
      </c>
      <c r="AR50" s="91">
        <v>45783</v>
      </c>
      <c r="AS50" s="91">
        <f t="shared" si="37"/>
        <v>46512</v>
      </c>
      <c r="AT50" s="91" t="s">
        <v>231</v>
      </c>
      <c r="AU50" s="91" t="s">
        <v>231</v>
      </c>
      <c r="AV50" s="91" t="s">
        <v>231</v>
      </c>
      <c r="AW50" s="91" t="s">
        <v>231</v>
      </c>
      <c r="AX50" s="91" t="s">
        <v>231</v>
      </c>
      <c r="AY50" s="91" t="s">
        <v>231</v>
      </c>
      <c r="AZ50" s="317">
        <v>46066</v>
      </c>
      <c r="BA50" s="91">
        <f t="shared" si="42"/>
        <v>46795</v>
      </c>
      <c r="BB50" s="317">
        <v>46077</v>
      </c>
      <c r="BC50" s="91">
        <f t="shared" si="31"/>
        <v>46806</v>
      </c>
      <c r="BD50" s="91" t="s">
        <v>231</v>
      </c>
      <c r="BE50" s="91" t="s">
        <v>231</v>
      </c>
      <c r="BF50" s="91" t="s">
        <v>231</v>
      </c>
      <c r="BG50" s="91" t="s">
        <v>231</v>
      </c>
      <c r="BH50" s="91" t="s">
        <v>231</v>
      </c>
      <c r="BI50" s="91" t="s">
        <v>231</v>
      </c>
      <c r="BJ50" s="91" t="s">
        <v>231</v>
      </c>
      <c r="BK50" s="91" t="s">
        <v>231</v>
      </c>
      <c r="BL50" s="91">
        <v>45737</v>
      </c>
      <c r="BM50" s="91">
        <f t="shared" si="38"/>
        <v>46466</v>
      </c>
      <c r="BN50" s="91" t="s">
        <v>231</v>
      </c>
      <c r="BO50" s="91" t="s">
        <v>231</v>
      </c>
      <c r="BP50" s="91" t="s">
        <v>231</v>
      </c>
      <c r="BQ50" s="91" t="s">
        <v>231</v>
      </c>
      <c r="BR50" s="91" t="s">
        <v>231</v>
      </c>
      <c r="BS50" s="91" t="s">
        <v>231</v>
      </c>
      <c r="BT50" s="91" t="s">
        <v>231</v>
      </c>
      <c r="BU50" s="91">
        <v>45751</v>
      </c>
      <c r="BV50" s="91">
        <v>45758</v>
      </c>
      <c r="BW50" s="91">
        <v>45754</v>
      </c>
      <c r="BX50" s="91">
        <v>45754</v>
      </c>
      <c r="BY50" s="91">
        <v>45750</v>
      </c>
      <c r="BZ50" s="91" t="s">
        <v>232</v>
      </c>
      <c r="CA50" s="91">
        <v>45749</v>
      </c>
      <c r="CB50" s="91" t="s">
        <v>232</v>
      </c>
      <c r="CC50" s="91">
        <v>45749</v>
      </c>
      <c r="CD50" s="91">
        <v>45756</v>
      </c>
      <c r="CE50" s="91" t="s">
        <v>232</v>
      </c>
      <c r="CF50" s="91" t="s">
        <v>232</v>
      </c>
      <c r="CG50" s="91" t="s">
        <v>232</v>
      </c>
      <c r="CH50" s="91" t="s">
        <v>232</v>
      </c>
      <c r="CI50" s="91" t="s">
        <v>232</v>
      </c>
      <c r="CJ50" s="91" t="s">
        <v>232</v>
      </c>
      <c r="CK50" s="91" t="s">
        <v>232</v>
      </c>
      <c r="CL50" s="11" t="s">
        <v>232</v>
      </c>
      <c r="CM50" s="91" t="s">
        <v>232</v>
      </c>
      <c r="CN50" s="91" t="s">
        <v>232</v>
      </c>
      <c r="CO50" s="91">
        <v>45891</v>
      </c>
      <c r="CP50" s="91" t="s">
        <v>232</v>
      </c>
      <c r="CQ50" s="10">
        <v>45742</v>
      </c>
      <c r="CR50" s="10" t="s">
        <v>232</v>
      </c>
      <c r="CS50" s="10" t="s">
        <v>232</v>
      </c>
      <c r="CT50" s="10" t="s">
        <v>232</v>
      </c>
      <c r="CU50" s="11">
        <v>46070</v>
      </c>
      <c r="CV50" s="11">
        <v>45807</v>
      </c>
      <c r="CW50" s="11" t="s">
        <v>232</v>
      </c>
      <c r="CX50" s="11"/>
      <c r="CY50" s="11"/>
    </row>
    <row r="51" spans="2:103" s="68" customFormat="1" ht="50.25" customHeight="1">
      <c r="B51" s="462">
        <v>47</v>
      </c>
      <c r="C51" s="464" t="s">
        <v>390</v>
      </c>
      <c r="D51" s="377" t="s">
        <v>391</v>
      </c>
      <c r="E51" s="377" t="s">
        <v>392</v>
      </c>
      <c r="F51" s="324" t="s">
        <v>384</v>
      </c>
      <c r="G51" s="441" t="s">
        <v>232</v>
      </c>
      <c r="H51" s="319">
        <v>45792</v>
      </c>
      <c r="I51" s="91">
        <f t="shared" si="32"/>
        <v>46521</v>
      </c>
      <c r="J51" s="319">
        <v>45826</v>
      </c>
      <c r="K51" s="91">
        <f t="shared" si="33"/>
        <v>46555</v>
      </c>
      <c r="L51" s="91">
        <v>45827</v>
      </c>
      <c r="M51" s="91">
        <f t="shared" si="34"/>
        <v>46556</v>
      </c>
      <c r="N51" s="91">
        <v>45818</v>
      </c>
      <c r="O51" s="91">
        <f>IF(ISBLANK(N51),"",EDATE(N51,24))-1</f>
        <v>46547</v>
      </c>
      <c r="P51" s="91">
        <v>45818</v>
      </c>
      <c r="Q51" s="91">
        <f t="shared" si="44"/>
        <v>46547</v>
      </c>
      <c r="R51" s="319">
        <v>45797</v>
      </c>
      <c r="S51" s="91">
        <f t="shared" si="45"/>
        <v>46526</v>
      </c>
      <c r="T51" s="317">
        <v>45825</v>
      </c>
      <c r="U51" s="91">
        <f>IF(ISBLANK(T51),"",EDATE(T51,24))-1</f>
        <v>46554</v>
      </c>
      <c r="V51" s="91">
        <v>45804</v>
      </c>
      <c r="W51" s="91">
        <f>IF(ISBLANK(V51),"",EDATE(V51,24))-1</f>
        <v>46533</v>
      </c>
      <c r="X51" s="317">
        <v>45834</v>
      </c>
      <c r="Y51" s="91">
        <f t="shared" si="43"/>
        <v>46563</v>
      </c>
      <c r="Z51" s="317" t="s">
        <v>232</v>
      </c>
      <c r="AA51" s="317" t="s">
        <v>232</v>
      </c>
      <c r="AB51" s="319">
        <v>45849</v>
      </c>
      <c r="AC51" s="91">
        <f>IF(ISBLANK(AB51),"",EDATE(AB51,24))-1</f>
        <v>46578</v>
      </c>
      <c r="AD51" s="317" t="s">
        <v>232</v>
      </c>
      <c r="AE51" s="317" t="s">
        <v>232</v>
      </c>
      <c r="AF51" s="319">
        <v>45784</v>
      </c>
      <c r="AG51" s="91">
        <f t="shared" si="29"/>
        <v>46513</v>
      </c>
      <c r="AH51" s="319">
        <v>45820</v>
      </c>
      <c r="AI51" s="91">
        <f t="shared" si="25"/>
        <v>46549</v>
      </c>
      <c r="AJ51" s="91">
        <v>45791</v>
      </c>
      <c r="AK51" s="91">
        <f t="shared" si="24"/>
        <v>46520</v>
      </c>
      <c r="AL51" s="91">
        <v>45785</v>
      </c>
      <c r="AM51" s="91">
        <f>IF(ISBLANK(AL51),"",EDATE(AL51,24))</f>
        <v>46515</v>
      </c>
      <c r="AN51" s="91">
        <v>45786</v>
      </c>
      <c r="AO51" s="91">
        <f t="shared" si="35"/>
        <v>46515</v>
      </c>
      <c r="AP51" s="91">
        <v>45790</v>
      </c>
      <c r="AQ51" s="91">
        <f t="shared" si="36"/>
        <v>46519</v>
      </c>
      <c r="AR51" s="91">
        <v>45783</v>
      </c>
      <c r="AS51" s="91">
        <f t="shared" si="37"/>
        <v>46512</v>
      </c>
      <c r="AT51" s="91" t="s">
        <v>232</v>
      </c>
      <c r="AU51" s="317" t="s">
        <v>232</v>
      </c>
      <c r="AV51" s="91" t="s">
        <v>232</v>
      </c>
      <c r="AW51" s="91" t="e">
        <f t="shared" ref="AW51:AW59" si="46">IF(ISBLANK(AV51),"",EDATE(AV51,24))-1</f>
        <v>#VALUE!</v>
      </c>
      <c r="AX51" s="317" t="s">
        <v>232</v>
      </c>
      <c r="AY51" s="91" t="e">
        <f t="shared" ref="AY51:AY59" si="47">IF(ISBLANK(AX51),"",EDATE(AX51,24))-1</f>
        <v>#VALUE!</v>
      </c>
      <c r="AZ51" s="91" t="s">
        <v>232</v>
      </c>
      <c r="BA51" s="91" t="e">
        <f t="shared" si="42"/>
        <v>#VALUE!</v>
      </c>
      <c r="BB51" s="91" t="s">
        <v>232</v>
      </c>
      <c r="BC51" s="91" t="e">
        <f t="shared" si="31"/>
        <v>#VALUE!</v>
      </c>
      <c r="BD51" s="91" t="s">
        <v>232</v>
      </c>
      <c r="BE51" s="91" t="e">
        <f t="shared" ref="BE51:BE59" si="48">IF(ISBLANK(BD51),"",EDATE(BD51,24))-1</f>
        <v>#VALUE!</v>
      </c>
      <c r="BF51" s="91" t="s">
        <v>232</v>
      </c>
      <c r="BG51" s="91" t="s">
        <v>232</v>
      </c>
      <c r="BH51" s="91" t="s">
        <v>232</v>
      </c>
      <c r="BI51" s="91" t="s">
        <v>232</v>
      </c>
      <c r="BJ51" s="91" t="s">
        <v>232</v>
      </c>
      <c r="BK51" s="91" t="s">
        <v>232</v>
      </c>
      <c r="BL51" s="91">
        <v>45793</v>
      </c>
      <c r="BM51" s="91">
        <f t="shared" si="38"/>
        <v>46522</v>
      </c>
      <c r="BN51" s="91" t="s">
        <v>232</v>
      </c>
      <c r="BO51" s="91" t="s">
        <v>232</v>
      </c>
      <c r="BP51" s="91" t="s">
        <v>232</v>
      </c>
      <c r="BQ51" s="91" t="s">
        <v>232</v>
      </c>
      <c r="BR51" s="91" t="s">
        <v>232</v>
      </c>
      <c r="BS51" s="91" t="s">
        <v>232</v>
      </c>
      <c r="BT51" s="91" t="s">
        <v>232</v>
      </c>
      <c r="BU51" s="91" t="s">
        <v>232</v>
      </c>
      <c r="BV51" s="91" t="s">
        <v>232</v>
      </c>
      <c r="BW51" s="91" t="s">
        <v>232</v>
      </c>
      <c r="BX51" s="91">
        <v>45910</v>
      </c>
      <c r="BY51" s="91" t="s">
        <v>232</v>
      </c>
      <c r="BZ51" s="91" t="s">
        <v>232</v>
      </c>
      <c r="CA51" s="91" t="s">
        <v>232</v>
      </c>
      <c r="CB51" s="91" t="s">
        <v>232</v>
      </c>
      <c r="CC51" s="91" t="s">
        <v>232</v>
      </c>
      <c r="CD51" s="91" t="s">
        <v>232</v>
      </c>
      <c r="CE51" s="91" t="s">
        <v>232</v>
      </c>
      <c r="CF51" s="91" t="s">
        <v>232</v>
      </c>
      <c r="CG51" s="91" t="s">
        <v>232</v>
      </c>
      <c r="CH51" s="91" t="s">
        <v>232</v>
      </c>
      <c r="CI51" s="91" t="s">
        <v>232</v>
      </c>
      <c r="CJ51" s="91" t="s">
        <v>232</v>
      </c>
      <c r="CK51" s="91" t="s">
        <v>232</v>
      </c>
      <c r="CL51" s="11" t="s">
        <v>232</v>
      </c>
      <c r="CM51" s="91" t="s">
        <v>232</v>
      </c>
      <c r="CN51" s="91" t="s">
        <v>232</v>
      </c>
      <c r="CO51" s="91">
        <v>45891</v>
      </c>
      <c r="CP51" s="91" t="s">
        <v>232</v>
      </c>
      <c r="CQ51" s="10" t="s">
        <v>232</v>
      </c>
      <c r="CR51" s="10" t="s">
        <v>232</v>
      </c>
      <c r="CS51" s="10" t="s">
        <v>232</v>
      </c>
      <c r="CT51" s="10" t="s">
        <v>232</v>
      </c>
      <c r="CU51" s="11" t="s">
        <v>232</v>
      </c>
      <c r="CV51" s="11">
        <v>45807</v>
      </c>
      <c r="CW51" s="11" t="s">
        <v>232</v>
      </c>
      <c r="CX51" s="11"/>
      <c r="CY51" s="11"/>
    </row>
    <row r="52" spans="2:103" ht="50.25" customHeight="1">
      <c r="B52" s="462">
        <v>48</v>
      </c>
      <c r="C52" s="464" t="s">
        <v>110</v>
      </c>
      <c r="D52" s="377" t="s">
        <v>111</v>
      </c>
      <c r="E52" s="377" t="s">
        <v>393</v>
      </c>
      <c r="F52" s="324" t="s">
        <v>384</v>
      </c>
      <c r="G52" s="441" t="s">
        <v>232</v>
      </c>
      <c r="H52" s="319">
        <v>45792</v>
      </c>
      <c r="I52" s="91">
        <f t="shared" si="32"/>
        <v>46521</v>
      </c>
      <c r="J52" s="319">
        <v>45826</v>
      </c>
      <c r="K52" s="91">
        <f t="shared" si="33"/>
        <v>46555</v>
      </c>
      <c r="L52" s="91">
        <v>45827</v>
      </c>
      <c r="M52" s="91">
        <f t="shared" si="34"/>
        <v>46556</v>
      </c>
      <c r="N52" s="91">
        <v>45818</v>
      </c>
      <c r="O52" s="91">
        <f>IF(ISBLANK(N52),"",EDATE(N52,24))-1</f>
        <v>46547</v>
      </c>
      <c r="P52" s="91">
        <v>45818</v>
      </c>
      <c r="Q52" s="91">
        <f t="shared" si="44"/>
        <v>46547</v>
      </c>
      <c r="R52" s="319">
        <v>45797</v>
      </c>
      <c r="S52" s="91">
        <f t="shared" si="45"/>
        <v>46526</v>
      </c>
      <c r="T52" s="317">
        <v>45825</v>
      </c>
      <c r="U52" s="91">
        <f>IF(ISBLANK(T52),"",EDATE(T52,24))-1</f>
        <v>46554</v>
      </c>
      <c r="V52" s="91">
        <v>45804</v>
      </c>
      <c r="W52" s="91">
        <f>IF(ISBLANK(V52),"",EDATE(V52,24))-1</f>
        <v>46533</v>
      </c>
      <c r="X52" s="317">
        <v>45834</v>
      </c>
      <c r="Y52" s="91">
        <f t="shared" si="43"/>
        <v>46563</v>
      </c>
      <c r="Z52" s="317" t="s">
        <v>232</v>
      </c>
      <c r="AA52" s="317" t="s">
        <v>232</v>
      </c>
      <c r="AB52" s="319">
        <v>45849</v>
      </c>
      <c r="AC52" s="91">
        <f>IF(ISBLANK(AB52),"",EDATE(AB52,24))-1</f>
        <v>46578</v>
      </c>
      <c r="AD52" s="317" t="s">
        <v>232</v>
      </c>
      <c r="AE52" s="317" t="s">
        <v>232</v>
      </c>
      <c r="AF52" s="319">
        <v>45784</v>
      </c>
      <c r="AG52" s="91">
        <f t="shared" si="29"/>
        <v>46513</v>
      </c>
      <c r="AH52" s="319">
        <v>45820</v>
      </c>
      <c r="AI52" s="91">
        <f t="shared" si="25"/>
        <v>46549</v>
      </c>
      <c r="AJ52" s="91">
        <v>45791</v>
      </c>
      <c r="AK52" s="91">
        <f t="shared" si="24"/>
        <v>46520</v>
      </c>
      <c r="AL52" s="91">
        <v>45785</v>
      </c>
      <c r="AM52" s="91">
        <f>IF(ISBLANK(AL52),"",EDATE(AL52,12))-1</f>
        <v>46149</v>
      </c>
      <c r="AN52" s="91">
        <v>45786</v>
      </c>
      <c r="AO52" s="91">
        <f t="shared" si="35"/>
        <v>46515</v>
      </c>
      <c r="AP52" s="91">
        <v>45790</v>
      </c>
      <c r="AQ52" s="91">
        <f t="shared" si="36"/>
        <v>46519</v>
      </c>
      <c r="AR52" s="91">
        <v>45783</v>
      </c>
      <c r="AS52" s="91">
        <f t="shared" si="37"/>
        <v>46512</v>
      </c>
      <c r="AT52" s="91" t="s">
        <v>232</v>
      </c>
      <c r="AU52" s="317" t="s">
        <v>232</v>
      </c>
      <c r="AV52" s="91" t="s">
        <v>232</v>
      </c>
      <c r="AW52" s="91" t="e">
        <f t="shared" si="46"/>
        <v>#VALUE!</v>
      </c>
      <c r="AX52" s="317" t="s">
        <v>232</v>
      </c>
      <c r="AY52" s="91" t="e">
        <f t="shared" si="47"/>
        <v>#VALUE!</v>
      </c>
      <c r="AZ52" s="91" t="s">
        <v>232</v>
      </c>
      <c r="BA52" s="91" t="e">
        <f t="shared" si="42"/>
        <v>#VALUE!</v>
      </c>
      <c r="BB52" s="91"/>
      <c r="BC52" s="91" t="e">
        <f t="shared" si="31"/>
        <v>#VALUE!</v>
      </c>
      <c r="BD52" s="91"/>
      <c r="BE52" s="91" t="e">
        <f t="shared" si="48"/>
        <v>#VALUE!</v>
      </c>
      <c r="BF52" s="91"/>
      <c r="BG52" s="91"/>
      <c r="BH52" s="91"/>
      <c r="BI52" s="91"/>
      <c r="BJ52" s="91"/>
      <c r="BK52" s="91"/>
      <c r="BL52" s="91">
        <v>45793</v>
      </c>
      <c r="BM52" s="91">
        <f t="shared" si="38"/>
        <v>46522</v>
      </c>
      <c r="BN52" s="91" t="s">
        <v>232</v>
      </c>
      <c r="BO52" s="91" t="s">
        <v>232</v>
      </c>
      <c r="BP52" s="91" t="s">
        <v>232</v>
      </c>
      <c r="BQ52" s="91" t="s">
        <v>232</v>
      </c>
      <c r="BR52" s="91" t="s">
        <v>232</v>
      </c>
      <c r="BS52" s="91" t="s">
        <v>232</v>
      </c>
      <c r="BT52" s="91" t="s">
        <v>232</v>
      </c>
      <c r="BU52" s="91" t="s">
        <v>232</v>
      </c>
      <c r="BV52" s="91" t="s">
        <v>232</v>
      </c>
      <c r="BW52" s="91" t="s">
        <v>232</v>
      </c>
      <c r="BX52" s="91">
        <v>45910</v>
      </c>
      <c r="BY52" s="91" t="s">
        <v>232</v>
      </c>
      <c r="BZ52" s="91" t="s">
        <v>232</v>
      </c>
      <c r="CA52" s="91" t="s">
        <v>232</v>
      </c>
      <c r="CB52" s="91" t="s">
        <v>232</v>
      </c>
      <c r="CC52" s="91" t="s">
        <v>232</v>
      </c>
      <c r="CD52" s="91" t="s">
        <v>232</v>
      </c>
      <c r="CE52" s="91" t="s">
        <v>232</v>
      </c>
      <c r="CF52" s="91" t="s">
        <v>232</v>
      </c>
      <c r="CG52" s="91" t="s">
        <v>232</v>
      </c>
      <c r="CH52" s="91" t="s">
        <v>232</v>
      </c>
      <c r="CI52" s="91" t="s">
        <v>232</v>
      </c>
      <c r="CJ52" s="91" t="s">
        <v>232</v>
      </c>
      <c r="CK52" s="91" t="s">
        <v>232</v>
      </c>
      <c r="CL52" s="11" t="s">
        <v>232</v>
      </c>
      <c r="CM52" s="91" t="s">
        <v>232</v>
      </c>
      <c r="CN52" s="91" t="s">
        <v>232</v>
      </c>
      <c r="CO52" s="91">
        <v>45891</v>
      </c>
      <c r="CP52" s="91" t="s">
        <v>232</v>
      </c>
      <c r="CQ52" s="10" t="s">
        <v>232</v>
      </c>
      <c r="CR52" s="10" t="s">
        <v>232</v>
      </c>
      <c r="CS52" s="10" t="s">
        <v>232</v>
      </c>
      <c r="CT52" s="10" t="s">
        <v>232</v>
      </c>
      <c r="CU52" s="11" t="s">
        <v>232</v>
      </c>
      <c r="CV52" s="11">
        <v>45807</v>
      </c>
      <c r="CW52" s="11" t="s">
        <v>232</v>
      </c>
      <c r="CX52" s="11"/>
      <c r="CY52" s="11"/>
    </row>
    <row r="53" spans="2:103" ht="50.25" customHeight="1">
      <c r="B53" s="462">
        <v>49</v>
      </c>
      <c r="C53" s="463" t="s">
        <v>112</v>
      </c>
      <c r="D53" s="377" t="s">
        <v>113</v>
      </c>
      <c r="E53" s="377" t="s">
        <v>394</v>
      </c>
      <c r="F53" s="377" t="s">
        <v>395</v>
      </c>
      <c r="G53" s="439" t="s">
        <v>396</v>
      </c>
      <c r="H53" s="319">
        <v>45792</v>
      </c>
      <c r="I53" s="91">
        <f t="shared" si="32"/>
        <v>46521</v>
      </c>
      <c r="J53" s="319">
        <v>45826</v>
      </c>
      <c r="K53" s="91">
        <f t="shared" si="33"/>
        <v>46555</v>
      </c>
      <c r="L53" s="91">
        <v>45827</v>
      </c>
      <c r="M53" s="91">
        <f t="shared" si="34"/>
        <v>46556</v>
      </c>
      <c r="N53" s="91" t="s">
        <v>231</v>
      </c>
      <c r="O53" s="91" t="s">
        <v>231</v>
      </c>
      <c r="P53" s="91" t="s">
        <v>231</v>
      </c>
      <c r="Q53" s="91" t="s">
        <v>231</v>
      </c>
      <c r="R53" s="319">
        <v>45797</v>
      </c>
      <c r="S53" s="91">
        <f t="shared" si="45"/>
        <v>46526</v>
      </c>
      <c r="T53" s="91" t="s">
        <v>232</v>
      </c>
      <c r="U53" s="91" t="s">
        <v>232</v>
      </c>
      <c r="V53" s="91">
        <v>45804</v>
      </c>
      <c r="W53" s="91">
        <f>IF(ISBLANK(V53),"",EDATE(V53,24))-1</f>
        <v>46533</v>
      </c>
      <c r="X53" s="317">
        <v>45834</v>
      </c>
      <c r="Y53" s="91">
        <f t="shared" si="43"/>
        <v>46563</v>
      </c>
      <c r="Z53" s="91" t="s">
        <v>232</v>
      </c>
      <c r="AA53" s="91" t="s">
        <v>232</v>
      </c>
      <c r="AB53" s="91" t="s">
        <v>232</v>
      </c>
      <c r="AC53" s="91" t="s">
        <v>232</v>
      </c>
      <c r="AD53" s="91">
        <v>45998</v>
      </c>
      <c r="AE53" s="91">
        <f>IF(ISBLANK(AD53),"",EDATE(AD53,24))-1</f>
        <v>46727</v>
      </c>
      <c r="AF53" s="319">
        <v>45821</v>
      </c>
      <c r="AG53" s="91">
        <f t="shared" si="29"/>
        <v>46550</v>
      </c>
      <c r="AH53" s="319">
        <v>45820</v>
      </c>
      <c r="AI53" s="91">
        <f t="shared" si="25"/>
        <v>46549</v>
      </c>
      <c r="AJ53" s="91">
        <v>45791</v>
      </c>
      <c r="AK53" s="91">
        <f t="shared" si="24"/>
        <v>46520</v>
      </c>
      <c r="AL53" s="91">
        <v>45785</v>
      </c>
      <c r="AM53" s="91">
        <f>IF(ISBLANK(AL53),"",EDATE(AL53,12))-1</f>
        <v>46149</v>
      </c>
      <c r="AN53" s="91">
        <v>45786</v>
      </c>
      <c r="AO53" s="91">
        <f t="shared" si="35"/>
        <v>46515</v>
      </c>
      <c r="AP53" s="91">
        <v>45885</v>
      </c>
      <c r="AQ53" s="91">
        <f t="shared" si="36"/>
        <v>46614</v>
      </c>
      <c r="AR53" s="91" t="s">
        <v>232</v>
      </c>
      <c r="AS53" s="91" t="e">
        <f t="shared" si="37"/>
        <v>#VALUE!</v>
      </c>
      <c r="AT53" s="91">
        <v>45835</v>
      </c>
      <c r="AU53" s="91">
        <f>IF(ISBLANK(AT53),"",EDATE(AT53,24))-1</f>
        <v>46564</v>
      </c>
      <c r="AV53" s="91" t="s">
        <v>232</v>
      </c>
      <c r="AW53" s="91" t="e">
        <f t="shared" si="46"/>
        <v>#VALUE!</v>
      </c>
      <c r="AX53" s="91">
        <v>45829</v>
      </c>
      <c r="AY53" s="91">
        <f t="shared" si="47"/>
        <v>46558</v>
      </c>
      <c r="AZ53" s="91"/>
      <c r="BA53" s="91" t="e">
        <f t="shared" si="42"/>
        <v>#VALUE!</v>
      </c>
      <c r="BB53" s="91"/>
      <c r="BC53" s="91" t="e">
        <f t="shared" si="31"/>
        <v>#VALUE!</v>
      </c>
      <c r="BD53" s="91"/>
      <c r="BE53" s="91" t="e">
        <f t="shared" si="48"/>
        <v>#VALUE!</v>
      </c>
      <c r="BF53" s="91"/>
      <c r="BG53" s="91"/>
      <c r="BH53" s="91"/>
      <c r="BI53" s="91"/>
      <c r="BJ53" s="91"/>
      <c r="BK53" s="91"/>
      <c r="BL53" s="91">
        <v>45793</v>
      </c>
      <c r="BM53" s="91">
        <f t="shared" si="38"/>
        <v>46522</v>
      </c>
      <c r="BN53" s="91" t="s">
        <v>232</v>
      </c>
      <c r="BO53" s="91" t="s">
        <v>232</v>
      </c>
      <c r="BP53" s="91" t="s">
        <v>232</v>
      </c>
      <c r="BQ53" s="91" t="s">
        <v>232</v>
      </c>
      <c r="BR53" s="91" t="s">
        <v>232</v>
      </c>
      <c r="BS53" s="91" t="s">
        <v>232</v>
      </c>
      <c r="BT53" s="91" t="s">
        <v>232</v>
      </c>
      <c r="BU53" s="10">
        <v>45993</v>
      </c>
      <c r="BV53" s="91" t="s">
        <v>232</v>
      </c>
      <c r="BW53" s="91" t="s">
        <v>232</v>
      </c>
      <c r="BX53" s="91" t="s">
        <v>232</v>
      </c>
      <c r="BY53" s="91">
        <v>45992</v>
      </c>
      <c r="BZ53" s="10">
        <v>46013</v>
      </c>
      <c r="CA53" s="10">
        <v>46007</v>
      </c>
      <c r="CB53" s="91" t="s">
        <v>232</v>
      </c>
      <c r="CC53" s="91">
        <v>46006</v>
      </c>
      <c r="CD53" s="91" t="s">
        <v>232</v>
      </c>
      <c r="CE53" s="91" t="s">
        <v>232</v>
      </c>
      <c r="CF53" s="91" t="s">
        <v>232</v>
      </c>
      <c r="CG53" s="91">
        <v>45814</v>
      </c>
      <c r="CH53" s="91" t="s">
        <v>232</v>
      </c>
      <c r="CI53" s="91" t="s">
        <v>232</v>
      </c>
      <c r="CJ53" s="91" t="s">
        <v>232</v>
      </c>
      <c r="CK53" s="91">
        <v>45810</v>
      </c>
      <c r="CL53" s="10">
        <v>45981</v>
      </c>
      <c r="CM53" s="91" t="s">
        <v>232</v>
      </c>
      <c r="CN53" s="91" t="s">
        <v>232</v>
      </c>
      <c r="CO53" s="91" t="s">
        <v>232</v>
      </c>
      <c r="CP53" s="91" t="s">
        <v>232</v>
      </c>
      <c r="CQ53" s="10">
        <v>46002</v>
      </c>
      <c r="CR53" s="10">
        <v>46002</v>
      </c>
      <c r="CS53" s="10">
        <v>46002</v>
      </c>
      <c r="CT53" s="10">
        <v>45828</v>
      </c>
      <c r="CU53" s="11" t="s">
        <v>232</v>
      </c>
      <c r="CV53" s="11" t="s">
        <v>232</v>
      </c>
      <c r="CW53" s="10">
        <v>45882</v>
      </c>
      <c r="CX53" s="10"/>
      <c r="CY53" s="10"/>
    </row>
    <row r="54" spans="2:103" ht="50.25" customHeight="1">
      <c r="B54" s="462">
        <v>50</v>
      </c>
      <c r="C54" s="463" t="s">
        <v>397</v>
      </c>
      <c r="D54" s="377" t="s">
        <v>398</v>
      </c>
      <c r="E54" s="377" t="s">
        <v>399</v>
      </c>
      <c r="F54" s="377" t="s">
        <v>339</v>
      </c>
      <c r="G54" s="440" t="s">
        <v>400</v>
      </c>
      <c r="H54" s="319">
        <v>45792</v>
      </c>
      <c r="I54" s="91">
        <f t="shared" si="32"/>
        <v>46521</v>
      </c>
      <c r="J54" s="319">
        <v>45826</v>
      </c>
      <c r="K54" s="91">
        <f t="shared" si="33"/>
        <v>46555</v>
      </c>
      <c r="L54" s="91">
        <v>45827</v>
      </c>
      <c r="M54" s="91">
        <f t="shared" si="34"/>
        <v>46556</v>
      </c>
      <c r="N54" s="91">
        <v>45818</v>
      </c>
      <c r="O54" s="91">
        <f>IF(ISBLANK(N54),"",EDATE(N54,24))-1</f>
        <v>46547</v>
      </c>
      <c r="P54" s="91">
        <v>45818</v>
      </c>
      <c r="Q54" s="91">
        <f t="shared" ref="Q54:Q60" si="49">IF(ISBLANK(P54),"",EDATE(P54,24))-1</f>
        <v>46547</v>
      </c>
      <c r="R54" s="319">
        <v>45797</v>
      </c>
      <c r="S54" s="91">
        <f t="shared" si="45"/>
        <v>46526</v>
      </c>
      <c r="T54" s="91" t="s">
        <v>231</v>
      </c>
      <c r="U54" s="91" t="s">
        <v>231</v>
      </c>
      <c r="V54" s="91">
        <v>45804</v>
      </c>
      <c r="W54" s="91">
        <f>IF(ISBLANK(V54),"",EDATE(V54,24))-1</f>
        <v>46533</v>
      </c>
      <c r="X54" s="317">
        <v>45834</v>
      </c>
      <c r="Y54" s="91">
        <f t="shared" si="43"/>
        <v>46563</v>
      </c>
      <c r="Z54" s="91" t="s">
        <v>232</v>
      </c>
      <c r="AA54" s="91" t="s">
        <v>232</v>
      </c>
      <c r="AB54" s="91" t="s">
        <v>231</v>
      </c>
      <c r="AC54" s="91" t="s">
        <v>231</v>
      </c>
      <c r="AD54" s="91" t="s">
        <v>232</v>
      </c>
      <c r="AE54" s="91" t="s">
        <v>232</v>
      </c>
      <c r="AF54" s="319">
        <v>45821</v>
      </c>
      <c r="AG54" s="91">
        <f t="shared" si="29"/>
        <v>46550</v>
      </c>
      <c r="AH54" s="319">
        <v>45800</v>
      </c>
      <c r="AI54" s="91">
        <f t="shared" si="25"/>
        <v>46529</v>
      </c>
      <c r="AJ54" s="91">
        <v>45791</v>
      </c>
      <c r="AK54" s="91">
        <f t="shared" si="24"/>
        <v>46520</v>
      </c>
      <c r="AL54" s="91">
        <v>45785</v>
      </c>
      <c r="AM54" s="91">
        <f>IF(ISBLANK(AL54),"",EDATE(AL54,24))</f>
        <v>46515</v>
      </c>
      <c r="AN54" s="91">
        <v>45786</v>
      </c>
      <c r="AO54" s="91">
        <f t="shared" si="35"/>
        <v>46515</v>
      </c>
      <c r="AP54" s="91">
        <v>45885</v>
      </c>
      <c r="AQ54" s="91">
        <f t="shared" si="36"/>
        <v>46614</v>
      </c>
      <c r="AR54" s="91" t="s">
        <v>232</v>
      </c>
      <c r="AS54" s="91" t="e">
        <f t="shared" si="37"/>
        <v>#VALUE!</v>
      </c>
      <c r="AT54" s="91" t="s">
        <v>232</v>
      </c>
      <c r="AU54" s="317" t="s">
        <v>232</v>
      </c>
      <c r="AV54" s="91" t="s">
        <v>232</v>
      </c>
      <c r="AW54" s="91" t="e">
        <f t="shared" si="46"/>
        <v>#VALUE!</v>
      </c>
      <c r="AX54" s="317" t="s">
        <v>232</v>
      </c>
      <c r="AY54" s="91" t="e">
        <f t="shared" si="47"/>
        <v>#VALUE!</v>
      </c>
      <c r="AZ54" s="317">
        <v>45812</v>
      </c>
      <c r="BA54" s="91">
        <f t="shared" si="42"/>
        <v>46541</v>
      </c>
      <c r="BB54" s="91" t="s">
        <v>232</v>
      </c>
      <c r="BC54" s="91" t="e">
        <f t="shared" si="31"/>
        <v>#VALUE!</v>
      </c>
      <c r="BD54" s="91">
        <v>45944</v>
      </c>
      <c r="BE54" s="91">
        <f t="shared" si="48"/>
        <v>46673</v>
      </c>
      <c r="BF54" s="91" t="s">
        <v>232</v>
      </c>
      <c r="BG54" s="91" t="s">
        <v>232</v>
      </c>
      <c r="BH54" s="91" t="s">
        <v>232</v>
      </c>
      <c r="BI54" s="91" t="s">
        <v>232</v>
      </c>
      <c r="BJ54" s="91">
        <v>45754</v>
      </c>
      <c r="BK54" s="91">
        <v>46483</v>
      </c>
      <c r="BL54" s="91">
        <v>45793</v>
      </c>
      <c r="BM54" s="91">
        <f t="shared" si="38"/>
        <v>46522</v>
      </c>
      <c r="BN54" s="91" t="s">
        <v>232</v>
      </c>
      <c r="BO54" s="91" t="s">
        <v>232</v>
      </c>
      <c r="BP54" s="91" t="s">
        <v>232</v>
      </c>
      <c r="BQ54" s="91" t="s">
        <v>232</v>
      </c>
      <c r="BR54" s="91" t="s">
        <v>232</v>
      </c>
      <c r="BS54" s="91" t="s">
        <v>232</v>
      </c>
      <c r="BT54" s="91" t="s">
        <v>232</v>
      </c>
      <c r="BU54" s="91" t="s">
        <v>232</v>
      </c>
      <c r="BV54" s="91" t="s">
        <v>232</v>
      </c>
      <c r="BW54" s="91" t="s">
        <v>232</v>
      </c>
      <c r="BX54" s="91" t="s">
        <v>232</v>
      </c>
      <c r="BY54" s="91" t="s">
        <v>232</v>
      </c>
      <c r="BZ54" s="91" t="s">
        <v>232</v>
      </c>
      <c r="CA54" s="91" t="s">
        <v>232</v>
      </c>
      <c r="CB54" s="91" t="s">
        <v>232</v>
      </c>
      <c r="CC54" s="91" t="s">
        <v>232</v>
      </c>
      <c r="CD54" s="91" t="s">
        <v>232</v>
      </c>
      <c r="CE54" s="91" t="s">
        <v>232</v>
      </c>
      <c r="CF54" s="91">
        <v>45853</v>
      </c>
      <c r="CG54" s="91">
        <v>45814</v>
      </c>
      <c r="CH54" s="91" t="s">
        <v>232</v>
      </c>
      <c r="CI54" s="91" t="s">
        <v>232</v>
      </c>
      <c r="CJ54" s="91" t="s">
        <v>232</v>
      </c>
      <c r="CK54" s="91" t="s">
        <v>232</v>
      </c>
      <c r="CL54" s="11" t="s">
        <v>232</v>
      </c>
      <c r="CM54" s="91" t="s">
        <v>232</v>
      </c>
      <c r="CN54" s="91" t="s">
        <v>232</v>
      </c>
      <c r="CO54" s="91" t="s">
        <v>232</v>
      </c>
      <c r="CP54" s="91" t="s">
        <v>232</v>
      </c>
      <c r="CQ54" s="10">
        <v>45945</v>
      </c>
      <c r="CR54" s="10" t="s">
        <v>232</v>
      </c>
      <c r="CS54" s="10" t="s">
        <v>232</v>
      </c>
      <c r="CT54" s="10" t="s">
        <v>232</v>
      </c>
      <c r="CU54" s="11" t="s">
        <v>232</v>
      </c>
      <c r="CV54" s="11">
        <v>45807</v>
      </c>
      <c r="CW54" s="11" t="s">
        <v>232</v>
      </c>
      <c r="CX54" s="11"/>
      <c r="CY54" s="11"/>
    </row>
    <row r="55" spans="2:103" ht="50.25" customHeight="1">
      <c r="B55" s="462">
        <v>51</v>
      </c>
      <c r="C55" s="463" t="s">
        <v>114</v>
      </c>
      <c r="D55" s="377" t="s">
        <v>115</v>
      </c>
      <c r="E55" s="377" t="s">
        <v>401</v>
      </c>
      <c r="F55" s="377" t="s">
        <v>339</v>
      </c>
      <c r="G55" s="439" t="s">
        <v>366</v>
      </c>
      <c r="H55" s="319">
        <v>45792</v>
      </c>
      <c r="I55" s="91">
        <f t="shared" si="32"/>
        <v>46521</v>
      </c>
      <c r="J55" s="319">
        <v>45826</v>
      </c>
      <c r="K55" s="91">
        <f t="shared" si="33"/>
        <v>46555</v>
      </c>
      <c r="L55" s="91">
        <v>45827</v>
      </c>
      <c r="M55" s="91">
        <f t="shared" si="34"/>
        <v>46556</v>
      </c>
      <c r="N55" s="91">
        <v>45818</v>
      </c>
      <c r="O55" s="91">
        <f>IF(ISBLANK(N55),"",EDATE(N55,24))-1</f>
        <v>46547</v>
      </c>
      <c r="P55" s="91">
        <v>45818</v>
      </c>
      <c r="Q55" s="91">
        <f t="shared" si="49"/>
        <v>46547</v>
      </c>
      <c r="R55" s="319">
        <v>45797</v>
      </c>
      <c r="S55" s="91">
        <f t="shared" si="45"/>
        <v>46526</v>
      </c>
      <c r="T55" s="317">
        <v>45825</v>
      </c>
      <c r="U55" s="91">
        <f>IF(ISBLANK(T55),"",EDATE(T55,24))-1</f>
        <v>46554</v>
      </c>
      <c r="V55" s="91">
        <v>45804</v>
      </c>
      <c r="W55" s="91">
        <v>46534</v>
      </c>
      <c r="X55" s="317">
        <v>45834</v>
      </c>
      <c r="Y55" s="91">
        <f t="shared" si="43"/>
        <v>46563</v>
      </c>
      <c r="Z55" s="91" t="s">
        <v>232</v>
      </c>
      <c r="AA55" s="91" t="s">
        <v>232</v>
      </c>
      <c r="AB55" s="91" t="s">
        <v>232</v>
      </c>
      <c r="AC55" s="91" t="s">
        <v>232</v>
      </c>
      <c r="AD55" s="91" t="s">
        <v>232</v>
      </c>
      <c r="AE55" s="91" t="s">
        <v>232</v>
      </c>
      <c r="AF55" s="319">
        <v>45821</v>
      </c>
      <c r="AG55" s="91">
        <f t="shared" si="29"/>
        <v>46550</v>
      </c>
      <c r="AH55" s="319">
        <v>45800</v>
      </c>
      <c r="AI55" s="91">
        <f t="shared" si="25"/>
        <v>46529</v>
      </c>
      <c r="AJ55" s="91">
        <v>45791</v>
      </c>
      <c r="AK55" s="91">
        <f t="shared" si="24"/>
        <v>46520</v>
      </c>
      <c r="AL55" s="91">
        <v>45785</v>
      </c>
      <c r="AM55" s="91">
        <f>IF(ISBLANK(AL55),"",EDATE(AL55,12))-1</f>
        <v>46149</v>
      </c>
      <c r="AN55" s="91">
        <v>45786</v>
      </c>
      <c r="AO55" s="91">
        <f t="shared" si="35"/>
        <v>46515</v>
      </c>
      <c r="AP55" s="91">
        <v>45885</v>
      </c>
      <c r="AQ55" s="91">
        <f t="shared" si="36"/>
        <v>46614</v>
      </c>
      <c r="AR55" s="91" t="s">
        <v>232</v>
      </c>
      <c r="AS55" s="91" t="e">
        <f t="shared" si="37"/>
        <v>#VALUE!</v>
      </c>
      <c r="AT55" s="91" t="s">
        <v>232</v>
      </c>
      <c r="AU55" s="317" t="s">
        <v>232</v>
      </c>
      <c r="AV55" s="91" t="s">
        <v>232</v>
      </c>
      <c r="AW55" s="91" t="e">
        <f t="shared" si="46"/>
        <v>#VALUE!</v>
      </c>
      <c r="AX55" s="91">
        <v>45828</v>
      </c>
      <c r="AY55" s="91">
        <f t="shared" si="47"/>
        <v>46557</v>
      </c>
      <c r="AZ55" s="91" t="s">
        <v>232</v>
      </c>
      <c r="BA55" s="91" t="e">
        <f t="shared" si="42"/>
        <v>#VALUE!</v>
      </c>
      <c r="BB55" s="91" t="s">
        <v>232</v>
      </c>
      <c r="BC55" s="91" t="e">
        <f t="shared" si="31"/>
        <v>#VALUE!</v>
      </c>
      <c r="BD55" s="91">
        <v>45944</v>
      </c>
      <c r="BE55" s="91">
        <f t="shared" si="48"/>
        <v>46673</v>
      </c>
      <c r="BF55" s="91" t="s">
        <v>232</v>
      </c>
      <c r="BG55" s="91" t="s">
        <v>232</v>
      </c>
      <c r="BH55" s="91" t="s">
        <v>232</v>
      </c>
      <c r="BI55" s="91" t="s">
        <v>232</v>
      </c>
      <c r="BJ55" s="91" t="s">
        <v>232</v>
      </c>
      <c r="BK55" s="91" t="s">
        <v>232</v>
      </c>
      <c r="BL55" s="91">
        <v>45793</v>
      </c>
      <c r="BM55" s="91">
        <f t="shared" si="38"/>
        <v>46522</v>
      </c>
      <c r="BN55" s="91" t="s">
        <v>232</v>
      </c>
      <c r="BO55" s="91" t="s">
        <v>232</v>
      </c>
      <c r="BP55" s="91" t="s">
        <v>232</v>
      </c>
      <c r="BQ55" s="91" t="s">
        <v>232</v>
      </c>
      <c r="BR55" s="91" t="s">
        <v>232</v>
      </c>
      <c r="BS55" s="91" t="s">
        <v>232</v>
      </c>
      <c r="BT55" s="91" t="s">
        <v>232</v>
      </c>
      <c r="BU55" s="10">
        <v>45993</v>
      </c>
      <c r="BV55" s="91" t="s">
        <v>232</v>
      </c>
      <c r="BW55" s="91" t="s">
        <v>232</v>
      </c>
      <c r="BX55" s="91" t="s">
        <v>232</v>
      </c>
      <c r="BY55" s="91">
        <v>45992</v>
      </c>
      <c r="BZ55" s="10">
        <v>46013</v>
      </c>
      <c r="CA55" s="10">
        <v>46007</v>
      </c>
      <c r="CB55" s="91" t="s">
        <v>232</v>
      </c>
      <c r="CC55" s="91">
        <v>46006</v>
      </c>
      <c r="CD55" s="91" t="s">
        <v>232</v>
      </c>
      <c r="CE55" s="91" t="s">
        <v>232</v>
      </c>
      <c r="CF55" s="91" t="s">
        <v>232</v>
      </c>
      <c r="CG55" s="91" t="s">
        <v>232</v>
      </c>
      <c r="CH55" s="91" t="s">
        <v>232</v>
      </c>
      <c r="CI55" s="91" t="s">
        <v>232</v>
      </c>
      <c r="CJ55" s="91" t="s">
        <v>232</v>
      </c>
      <c r="CK55" s="91" t="s">
        <v>232</v>
      </c>
      <c r="CL55" s="11" t="s">
        <v>232</v>
      </c>
      <c r="CM55" s="91" t="s">
        <v>232</v>
      </c>
      <c r="CN55" s="91" t="s">
        <v>232</v>
      </c>
      <c r="CO55" s="91" t="s">
        <v>232</v>
      </c>
      <c r="CP55" s="91" t="s">
        <v>232</v>
      </c>
      <c r="CQ55" s="10">
        <v>46002</v>
      </c>
      <c r="CR55" s="10">
        <v>46002</v>
      </c>
      <c r="CS55" s="10">
        <v>46002</v>
      </c>
      <c r="CT55" s="10" t="s">
        <v>232</v>
      </c>
      <c r="CU55" s="11">
        <v>46070</v>
      </c>
      <c r="CV55" s="11" t="s">
        <v>232</v>
      </c>
      <c r="CW55" s="11" t="s">
        <v>232</v>
      </c>
      <c r="CX55" s="11"/>
      <c r="CY55" s="10">
        <v>46017</v>
      </c>
    </row>
    <row r="56" spans="2:103" ht="50.25" customHeight="1">
      <c r="B56" s="462">
        <v>52</v>
      </c>
      <c r="C56" s="465" t="s">
        <v>406</v>
      </c>
      <c r="D56" s="385" t="s">
        <v>407</v>
      </c>
      <c r="E56" s="385" t="s">
        <v>408</v>
      </c>
      <c r="F56" s="385" t="s">
        <v>409</v>
      </c>
      <c r="G56" s="440" t="s">
        <v>232</v>
      </c>
      <c r="H56" s="290">
        <v>45934</v>
      </c>
      <c r="I56" s="91">
        <f t="shared" si="32"/>
        <v>46663</v>
      </c>
      <c r="J56" s="290">
        <v>45935</v>
      </c>
      <c r="K56" s="91">
        <f t="shared" si="33"/>
        <v>46664</v>
      </c>
      <c r="L56" s="290">
        <v>45936</v>
      </c>
      <c r="M56" s="91">
        <f t="shared" si="34"/>
        <v>46665</v>
      </c>
      <c r="N56" s="10">
        <v>45974</v>
      </c>
      <c r="O56" s="325">
        <v>46703</v>
      </c>
      <c r="P56" s="10">
        <v>45974</v>
      </c>
      <c r="Q56" s="91">
        <f t="shared" si="49"/>
        <v>46703</v>
      </c>
      <c r="R56" s="386">
        <v>45888</v>
      </c>
      <c r="S56" s="91">
        <f t="shared" si="45"/>
        <v>46617</v>
      </c>
      <c r="T56" s="325">
        <v>45995</v>
      </c>
      <c r="U56" s="91">
        <f>IF(ISBLANK(T56),"",EDATE(T56,24))-1</f>
        <v>46724</v>
      </c>
      <c r="V56" s="325">
        <v>45978</v>
      </c>
      <c r="W56" s="91">
        <f>IF(ISBLANK(V56),"",EDATE(V56,24))-1</f>
        <v>46707</v>
      </c>
      <c r="X56" s="17">
        <v>45972</v>
      </c>
      <c r="Y56" s="91">
        <f t="shared" si="43"/>
        <v>46701</v>
      </c>
      <c r="Z56" s="327">
        <v>45989</v>
      </c>
      <c r="AA56" s="91">
        <f>IF(ISBLANK(Z56),"",EDATE(Z56,24))-1</f>
        <v>46718</v>
      </c>
      <c r="AB56" s="91">
        <v>45976</v>
      </c>
      <c r="AC56" s="91">
        <f>IF(ISBLANK(AB56),"",EDATE(AB56,24))-1</f>
        <v>46705</v>
      </c>
      <c r="AD56" s="91">
        <v>46000</v>
      </c>
      <c r="AE56" s="91">
        <f>IF(ISBLANK(AD56),"",EDATE(AD56,24))-1</f>
        <v>46729</v>
      </c>
      <c r="AF56" s="387">
        <v>45933</v>
      </c>
      <c r="AG56" s="91">
        <f t="shared" si="29"/>
        <v>46662</v>
      </c>
      <c r="AH56" s="388">
        <v>45939</v>
      </c>
      <c r="AI56" s="91">
        <f t="shared" si="25"/>
        <v>46668</v>
      </c>
      <c r="AJ56" s="388">
        <v>45940</v>
      </c>
      <c r="AK56" s="91">
        <f t="shared" si="24"/>
        <v>46669</v>
      </c>
      <c r="AL56" s="389">
        <v>45941</v>
      </c>
      <c r="AM56" s="91">
        <f>IF(ISBLANK(AL56),"",EDATE(AL56,24))</f>
        <v>46671</v>
      </c>
      <c r="AN56" s="389">
        <v>45942</v>
      </c>
      <c r="AO56" s="91">
        <f t="shared" si="35"/>
        <v>46671</v>
      </c>
      <c r="AP56" s="91" t="s">
        <v>232</v>
      </c>
      <c r="AQ56" s="91" t="e">
        <f t="shared" si="36"/>
        <v>#VALUE!</v>
      </c>
      <c r="AR56" s="238" t="s">
        <v>232</v>
      </c>
      <c r="AS56" s="91" t="e">
        <f t="shared" si="37"/>
        <v>#VALUE!</v>
      </c>
      <c r="AT56" s="10" t="s">
        <v>232</v>
      </c>
      <c r="AU56" s="317" t="s">
        <v>232</v>
      </c>
      <c r="AV56" s="10" t="s">
        <v>232</v>
      </c>
      <c r="AW56" s="91" t="e">
        <f t="shared" si="46"/>
        <v>#VALUE!</v>
      </c>
      <c r="AX56" s="10" t="s">
        <v>232</v>
      </c>
      <c r="AY56" s="91" t="e">
        <f t="shared" si="47"/>
        <v>#VALUE!</v>
      </c>
      <c r="AZ56" s="10" t="s">
        <v>232</v>
      </c>
      <c r="BA56" s="91" t="e">
        <f t="shared" si="42"/>
        <v>#VALUE!</v>
      </c>
      <c r="BB56" s="10" t="s">
        <v>232</v>
      </c>
      <c r="BC56" s="91" t="e">
        <f t="shared" si="31"/>
        <v>#VALUE!</v>
      </c>
      <c r="BD56" s="10" t="s">
        <v>232</v>
      </c>
      <c r="BE56" s="91" t="e">
        <f t="shared" si="48"/>
        <v>#VALUE!</v>
      </c>
      <c r="BF56" s="1" t="s">
        <v>232</v>
      </c>
      <c r="BG56" s="1" t="s">
        <v>232</v>
      </c>
      <c r="BH56" s="91" t="s">
        <v>232</v>
      </c>
      <c r="BI56" s="91" t="s">
        <v>232</v>
      </c>
      <c r="BJ56" s="91" t="s">
        <v>232</v>
      </c>
      <c r="BK56" s="91" t="s">
        <v>232</v>
      </c>
      <c r="BL56" s="10" t="s">
        <v>232</v>
      </c>
      <c r="BM56" s="91" t="e">
        <f t="shared" si="38"/>
        <v>#VALUE!</v>
      </c>
      <c r="BN56" s="10" t="s">
        <v>232</v>
      </c>
      <c r="BO56" s="10" t="s">
        <v>232</v>
      </c>
      <c r="BP56" s="10" t="s">
        <v>232</v>
      </c>
      <c r="BQ56" s="10" t="s">
        <v>232</v>
      </c>
      <c r="BR56" s="10" t="s">
        <v>232</v>
      </c>
      <c r="BS56" s="10" t="s">
        <v>232</v>
      </c>
      <c r="BT56" s="10" t="s">
        <v>232</v>
      </c>
      <c r="BU56" s="10">
        <v>45993</v>
      </c>
      <c r="BV56" s="10" t="s">
        <v>232</v>
      </c>
      <c r="BW56" s="10">
        <v>46007</v>
      </c>
      <c r="BX56" s="10">
        <v>45910</v>
      </c>
      <c r="BY56" s="10">
        <v>45992</v>
      </c>
      <c r="BZ56" s="10" t="s">
        <v>232</v>
      </c>
      <c r="CA56" s="10">
        <v>46007</v>
      </c>
      <c r="CB56" s="1" t="s">
        <v>232</v>
      </c>
      <c r="CC56" s="390" t="s">
        <v>232</v>
      </c>
      <c r="CD56" s="1" t="s">
        <v>232</v>
      </c>
      <c r="CE56" s="70" t="s">
        <v>232</v>
      </c>
      <c r="CF56" s="70" t="s">
        <v>232</v>
      </c>
      <c r="CG56" s="70" t="s">
        <v>232</v>
      </c>
      <c r="CH56" s="70" t="s">
        <v>232</v>
      </c>
      <c r="CI56" s="391" t="s">
        <v>232</v>
      </c>
      <c r="CJ56" s="10" t="s">
        <v>232</v>
      </c>
      <c r="CK56" s="91" t="s">
        <v>232</v>
      </c>
      <c r="CL56" s="11" t="s">
        <v>232</v>
      </c>
      <c r="CM56" s="91" t="s">
        <v>232</v>
      </c>
      <c r="CN56" s="10" t="s">
        <v>232</v>
      </c>
      <c r="CO56" s="10" t="s">
        <v>232</v>
      </c>
      <c r="CP56" s="10" t="s">
        <v>232</v>
      </c>
      <c r="CQ56" s="10">
        <v>46002</v>
      </c>
      <c r="CR56" s="10">
        <v>46002</v>
      </c>
      <c r="CS56" s="10">
        <v>46002</v>
      </c>
      <c r="CT56" s="10" t="s">
        <v>232</v>
      </c>
      <c r="CU56" s="11" t="s">
        <v>232</v>
      </c>
      <c r="CV56" s="11" t="s">
        <v>232</v>
      </c>
      <c r="CW56" s="11" t="s">
        <v>232</v>
      </c>
      <c r="CX56" s="11"/>
      <c r="CY56" s="11"/>
    </row>
    <row r="57" spans="2:103" ht="79.5" customHeight="1">
      <c r="B57" s="462">
        <v>53</v>
      </c>
      <c r="C57" s="465" t="s">
        <v>410</v>
      </c>
      <c r="D57" s="385" t="s">
        <v>411</v>
      </c>
      <c r="E57" s="385" t="s">
        <v>412</v>
      </c>
      <c r="F57" s="385" t="s">
        <v>413</v>
      </c>
      <c r="G57" s="440" t="s">
        <v>414</v>
      </c>
      <c r="H57" s="290">
        <v>45934</v>
      </c>
      <c r="I57" s="91">
        <f t="shared" si="32"/>
        <v>46663</v>
      </c>
      <c r="J57" s="290">
        <v>45935</v>
      </c>
      <c r="K57" s="91">
        <f t="shared" si="33"/>
        <v>46664</v>
      </c>
      <c r="L57" s="290">
        <v>45936</v>
      </c>
      <c r="M57" s="91">
        <f t="shared" si="34"/>
        <v>46665</v>
      </c>
      <c r="N57" s="10">
        <v>45974</v>
      </c>
      <c r="O57" s="325">
        <v>46703</v>
      </c>
      <c r="P57" s="10">
        <v>45974</v>
      </c>
      <c r="Q57" s="91">
        <f t="shared" si="49"/>
        <v>46703</v>
      </c>
      <c r="R57" s="392">
        <v>45888</v>
      </c>
      <c r="S57" s="91">
        <f t="shared" si="45"/>
        <v>46617</v>
      </c>
      <c r="T57" s="325">
        <v>45995</v>
      </c>
      <c r="U57" s="91">
        <f>IF(ISBLANK(T57),"",EDATE(T57,24))-1</f>
        <v>46724</v>
      </c>
      <c r="V57" s="325">
        <v>45978</v>
      </c>
      <c r="W57" s="91">
        <f>IF(ISBLANK(V57),"",EDATE(V57,24))-1</f>
        <v>46707</v>
      </c>
      <c r="X57" s="325" t="s">
        <v>231</v>
      </c>
      <c r="Y57" s="325" t="s">
        <v>231</v>
      </c>
      <c r="Z57" s="327">
        <v>45989</v>
      </c>
      <c r="AA57" s="91">
        <f>IF(ISBLANK(Z57),"",EDATE(Z57,24))-1</f>
        <v>46718</v>
      </c>
      <c r="AB57" s="91">
        <v>45976</v>
      </c>
      <c r="AC57" s="91">
        <f>IF(ISBLANK(AB57),"",EDATE(AB57,24))-1</f>
        <v>46705</v>
      </c>
      <c r="AD57" s="91">
        <v>46000</v>
      </c>
      <c r="AE57" s="91">
        <f>IF(ISBLANK(AD57),"",EDATE(AD57,24))-1</f>
        <v>46729</v>
      </c>
      <c r="AF57" s="387">
        <v>45933</v>
      </c>
      <c r="AG57" s="91">
        <f t="shared" si="29"/>
        <v>46662</v>
      </c>
      <c r="AH57" s="388">
        <v>45939</v>
      </c>
      <c r="AI57" s="91">
        <f t="shared" si="25"/>
        <v>46668</v>
      </c>
      <c r="AJ57" s="388">
        <v>45940</v>
      </c>
      <c r="AK57" s="91">
        <f t="shared" si="24"/>
        <v>46669</v>
      </c>
      <c r="AL57" s="393">
        <v>45941</v>
      </c>
      <c r="AM57" s="91">
        <f>IF(ISBLANK(AL57),"",EDATE(AL57,24))</f>
        <v>46671</v>
      </c>
      <c r="AN57" s="393">
        <v>45942</v>
      </c>
      <c r="AO57" s="91">
        <f t="shared" si="35"/>
        <v>46671</v>
      </c>
      <c r="AP57" s="91" t="s">
        <v>232</v>
      </c>
      <c r="AQ57" s="91" t="e">
        <f t="shared" si="36"/>
        <v>#VALUE!</v>
      </c>
      <c r="AR57" s="238" t="s">
        <v>232</v>
      </c>
      <c r="AS57" s="70" t="e">
        <f t="shared" si="37"/>
        <v>#VALUE!</v>
      </c>
      <c r="AT57" s="10"/>
      <c r="AU57" s="91" t="e">
        <f t="shared" ref="AU57:AU62" si="50">IF(ISBLANK(AT57),"",EDATE(AT57,24))-1</f>
        <v>#VALUE!</v>
      </c>
      <c r="AV57" s="10"/>
      <c r="AW57" s="91" t="e">
        <f t="shared" si="46"/>
        <v>#VALUE!</v>
      </c>
      <c r="AX57" s="10" t="s">
        <v>232</v>
      </c>
      <c r="AY57" s="91" t="e">
        <f t="shared" si="47"/>
        <v>#VALUE!</v>
      </c>
      <c r="AZ57" s="10" t="s">
        <v>232</v>
      </c>
      <c r="BA57" s="91" t="e">
        <f t="shared" si="42"/>
        <v>#VALUE!</v>
      </c>
      <c r="BB57" s="10" t="s">
        <v>232</v>
      </c>
      <c r="BC57" s="91" t="e">
        <f t="shared" si="31"/>
        <v>#VALUE!</v>
      </c>
      <c r="BD57" s="10">
        <v>45944</v>
      </c>
      <c r="BE57" s="91">
        <f t="shared" si="48"/>
        <v>46673</v>
      </c>
      <c r="BF57" s="1" t="s">
        <v>232</v>
      </c>
      <c r="BG57" s="1" t="s">
        <v>232</v>
      </c>
      <c r="BH57" s="91" t="s">
        <v>232</v>
      </c>
      <c r="BI57" s="91" t="s">
        <v>232</v>
      </c>
      <c r="BJ57" s="91" t="s">
        <v>232</v>
      </c>
      <c r="BK57" s="91" t="s">
        <v>232</v>
      </c>
      <c r="BL57" s="10" t="s">
        <v>232</v>
      </c>
      <c r="BM57" s="91" t="e">
        <f t="shared" si="38"/>
        <v>#VALUE!</v>
      </c>
      <c r="BN57" s="10" t="s">
        <v>232</v>
      </c>
      <c r="BO57" s="10" t="s">
        <v>232</v>
      </c>
      <c r="BP57" s="10" t="s">
        <v>232</v>
      </c>
      <c r="BQ57" s="10" t="s">
        <v>232</v>
      </c>
      <c r="BR57" s="10" t="s">
        <v>232</v>
      </c>
      <c r="BS57" s="10" t="s">
        <v>232</v>
      </c>
      <c r="BT57" s="10" t="s">
        <v>232</v>
      </c>
      <c r="BU57" s="10">
        <v>45993</v>
      </c>
      <c r="BV57" s="10" t="s">
        <v>232</v>
      </c>
      <c r="BW57" s="10">
        <v>46007</v>
      </c>
      <c r="BX57" s="10" t="s">
        <v>232</v>
      </c>
      <c r="BY57" s="10">
        <v>45992</v>
      </c>
      <c r="BZ57" s="10">
        <v>46013</v>
      </c>
      <c r="CA57" s="10">
        <v>46007</v>
      </c>
      <c r="CB57" s="1" t="s">
        <v>232</v>
      </c>
      <c r="CC57" s="10" t="s">
        <v>232</v>
      </c>
      <c r="CD57" s="17" t="s">
        <v>232</v>
      </c>
      <c r="CE57" s="70" t="s">
        <v>232</v>
      </c>
      <c r="CF57" s="434">
        <v>46015</v>
      </c>
      <c r="CG57" s="70" t="s">
        <v>232</v>
      </c>
      <c r="CH57" s="70" t="s">
        <v>232</v>
      </c>
      <c r="CI57" s="10" t="s">
        <v>232</v>
      </c>
      <c r="CJ57" s="10" t="s">
        <v>232</v>
      </c>
      <c r="CK57" s="91" t="s">
        <v>232</v>
      </c>
      <c r="CL57" s="11" t="s">
        <v>232</v>
      </c>
      <c r="CM57" s="91" t="s">
        <v>232</v>
      </c>
      <c r="CN57" s="10" t="s">
        <v>232</v>
      </c>
      <c r="CO57" s="10" t="s">
        <v>232</v>
      </c>
      <c r="CP57" s="10" t="s">
        <v>232</v>
      </c>
      <c r="CQ57" s="10">
        <v>45945</v>
      </c>
      <c r="CR57" s="10">
        <v>45945</v>
      </c>
      <c r="CS57" s="10">
        <v>45945</v>
      </c>
      <c r="CT57" s="10" t="s">
        <v>232</v>
      </c>
      <c r="CU57" s="11" t="s">
        <v>232</v>
      </c>
      <c r="CV57" s="11" t="s">
        <v>232</v>
      </c>
      <c r="CW57" s="11" t="s">
        <v>232</v>
      </c>
      <c r="CX57" s="10">
        <v>45953</v>
      </c>
      <c r="CY57" s="11"/>
    </row>
    <row r="58" spans="2:103" ht="50.25" customHeight="1">
      <c r="B58" s="462">
        <v>54</v>
      </c>
      <c r="C58" s="465" t="s">
        <v>415</v>
      </c>
      <c r="D58" s="385" t="s">
        <v>416</v>
      </c>
      <c r="E58" s="385" t="s">
        <v>417</v>
      </c>
      <c r="F58" s="385" t="s">
        <v>418</v>
      </c>
      <c r="G58" s="440" t="s">
        <v>232</v>
      </c>
      <c r="H58" s="290">
        <v>45934</v>
      </c>
      <c r="I58" s="91">
        <f t="shared" si="32"/>
        <v>46663</v>
      </c>
      <c r="J58" s="290">
        <v>45935</v>
      </c>
      <c r="K58" s="91">
        <f t="shared" si="33"/>
        <v>46664</v>
      </c>
      <c r="L58" s="90">
        <v>46666</v>
      </c>
      <c r="M58" s="91">
        <f t="shared" si="34"/>
        <v>47396</v>
      </c>
      <c r="N58" s="10">
        <v>45974</v>
      </c>
      <c r="O58" s="325">
        <v>46703</v>
      </c>
      <c r="P58" s="10">
        <v>45974</v>
      </c>
      <c r="Q58" s="91">
        <f t="shared" si="49"/>
        <v>46703</v>
      </c>
      <c r="R58" s="392">
        <v>45888</v>
      </c>
      <c r="S58" s="91">
        <f t="shared" si="45"/>
        <v>46617</v>
      </c>
      <c r="T58" s="325">
        <v>45995</v>
      </c>
      <c r="U58" s="91">
        <f>IF(ISBLANK(T58),"",EDATE(T58,24))-1</f>
        <v>46724</v>
      </c>
      <c r="V58" s="325">
        <v>45978</v>
      </c>
      <c r="W58" s="91">
        <f>IF(ISBLANK(V58),"",EDATE(V58,24))-1</f>
        <v>46707</v>
      </c>
      <c r="X58" s="17">
        <v>45972</v>
      </c>
      <c r="Y58" s="91">
        <f>IF(ISBLANK(X58),"",EDATE(X58,24))-1</f>
        <v>46701</v>
      </c>
      <c r="Z58" s="328">
        <v>45989</v>
      </c>
      <c r="AA58" s="91">
        <f>IF(ISBLANK(Z58),"",EDATE(Z58,24))-1</f>
        <v>46718</v>
      </c>
      <c r="AB58" s="91">
        <v>45976</v>
      </c>
      <c r="AC58" s="91">
        <f>IF(ISBLANK(AB58),"",EDATE(AB58,24))-1</f>
        <v>46705</v>
      </c>
      <c r="AD58" s="91">
        <v>46000</v>
      </c>
      <c r="AE58" s="91">
        <f>IF(ISBLANK(AD58),"",EDATE(AD58,24))-1</f>
        <v>46729</v>
      </c>
      <c r="AF58" s="387">
        <v>45933</v>
      </c>
      <c r="AG58" s="91">
        <f t="shared" si="29"/>
        <v>46662</v>
      </c>
      <c r="AH58" s="388">
        <v>45939</v>
      </c>
      <c r="AI58" s="91">
        <f t="shared" si="25"/>
        <v>46668</v>
      </c>
      <c r="AJ58" s="388">
        <v>45940</v>
      </c>
      <c r="AK58" s="91">
        <f t="shared" si="24"/>
        <v>46669</v>
      </c>
      <c r="AL58" s="393">
        <v>45941</v>
      </c>
      <c r="AM58" s="91">
        <f>IF(ISBLANK(AL58),"",EDATE(AL58,24))</f>
        <v>46671</v>
      </c>
      <c r="AN58" s="393">
        <v>45942</v>
      </c>
      <c r="AO58" s="91">
        <f t="shared" si="35"/>
        <v>46671</v>
      </c>
      <c r="AP58" s="91" t="s">
        <v>232</v>
      </c>
      <c r="AQ58" s="91" t="e">
        <f t="shared" si="36"/>
        <v>#VALUE!</v>
      </c>
      <c r="AR58" s="238" t="s">
        <v>232</v>
      </c>
      <c r="AS58" s="91" t="e">
        <f t="shared" si="37"/>
        <v>#VALUE!</v>
      </c>
      <c r="AT58" s="10"/>
      <c r="AU58" s="91" t="e">
        <f t="shared" si="50"/>
        <v>#VALUE!</v>
      </c>
      <c r="AV58" s="10"/>
      <c r="AW58" s="91" t="e">
        <f t="shared" si="46"/>
        <v>#VALUE!</v>
      </c>
      <c r="AX58" s="10" t="s">
        <v>232</v>
      </c>
      <c r="AY58" s="91" t="e">
        <f t="shared" si="47"/>
        <v>#VALUE!</v>
      </c>
      <c r="AZ58" s="10" t="s">
        <v>232</v>
      </c>
      <c r="BA58" s="91" t="e">
        <f t="shared" si="42"/>
        <v>#VALUE!</v>
      </c>
      <c r="BB58" s="10" t="s">
        <v>232</v>
      </c>
      <c r="BC58" s="91" t="e">
        <f t="shared" si="31"/>
        <v>#VALUE!</v>
      </c>
      <c r="BD58" s="10" t="s">
        <v>232</v>
      </c>
      <c r="BE58" s="91" t="e">
        <f t="shared" si="48"/>
        <v>#VALUE!</v>
      </c>
      <c r="BF58" s="1" t="s">
        <v>232</v>
      </c>
      <c r="BG58" s="1" t="s">
        <v>232</v>
      </c>
      <c r="BH58" s="91" t="s">
        <v>232</v>
      </c>
      <c r="BI58" s="91" t="s">
        <v>232</v>
      </c>
      <c r="BJ58" s="91" t="s">
        <v>232</v>
      </c>
      <c r="BK58" s="91" t="s">
        <v>232</v>
      </c>
      <c r="BL58" s="10" t="s">
        <v>232</v>
      </c>
      <c r="BM58" s="91" t="e">
        <f t="shared" si="38"/>
        <v>#VALUE!</v>
      </c>
      <c r="BN58" s="10" t="s">
        <v>232</v>
      </c>
      <c r="BO58" s="10" t="s">
        <v>232</v>
      </c>
      <c r="BP58" s="10" t="s">
        <v>232</v>
      </c>
      <c r="BQ58" s="10" t="s">
        <v>232</v>
      </c>
      <c r="BR58" s="10" t="s">
        <v>232</v>
      </c>
      <c r="BS58" s="10" t="s">
        <v>232</v>
      </c>
      <c r="BT58" s="10" t="s">
        <v>232</v>
      </c>
      <c r="BU58" s="10">
        <v>45993</v>
      </c>
      <c r="BV58" s="10" t="s">
        <v>232</v>
      </c>
      <c r="BW58" s="10">
        <v>46007</v>
      </c>
      <c r="BX58" s="10">
        <v>45910</v>
      </c>
      <c r="BY58" s="10">
        <v>45992</v>
      </c>
      <c r="BZ58" s="10" t="s">
        <v>232</v>
      </c>
      <c r="CA58" s="10">
        <v>46007</v>
      </c>
      <c r="CB58" s="1" t="s">
        <v>232</v>
      </c>
      <c r="CC58" s="10" t="s">
        <v>232</v>
      </c>
      <c r="CD58" s="10" t="s">
        <v>232</v>
      </c>
      <c r="CE58" s="70" t="s">
        <v>232</v>
      </c>
      <c r="CF58" s="70" t="s">
        <v>232</v>
      </c>
      <c r="CG58" s="70" t="s">
        <v>232</v>
      </c>
      <c r="CH58" s="70" t="s">
        <v>232</v>
      </c>
      <c r="CI58" s="10" t="s">
        <v>232</v>
      </c>
      <c r="CJ58" s="10" t="s">
        <v>232</v>
      </c>
      <c r="CK58" s="91" t="s">
        <v>232</v>
      </c>
      <c r="CL58" s="11" t="s">
        <v>232</v>
      </c>
      <c r="CM58" s="91" t="s">
        <v>232</v>
      </c>
      <c r="CN58" s="10" t="s">
        <v>232</v>
      </c>
      <c r="CO58" s="10" t="s">
        <v>232</v>
      </c>
      <c r="CP58" s="10" t="s">
        <v>232</v>
      </c>
      <c r="CQ58" s="10">
        <v>46002</v>
      </c>
      <c r="CR58" s="10">
        <v>46002</v>
      </c>
      <c r="CS58" s="10">
        <v>46002</v>
      </c>
      <c r="CT58" s="10" t="s">
        <v>232</v>
      </c>
      <c r="CU58" s="11" t="s">
        <v>232</v>
      </c>
      <c r="CV58" s="11" t="s">
        <v>232</v>
      </c>
      <c r="CW58" s="11" t="s">
        <v>232</v>
      </c>
      <c r="CX58" s="11"/>
      <c r="CY58" s="11"/>
    </row>
    <row r="59" spans="2:103" ht="50.25" customHeight="1">
      <c r="B59" s="462">
        <v>55</v>
      </c>
      <c r="C59" s="465" t="s">
        <v>419</v>
      </c>
      <c r="D59" s="385" t="s">
        <v>420</v>
      </c>
      <c r="E59" s="385" t="s">
        <v>421</v>
      </c>
      <c r="F59" s="385" t="s">
        <v>422</v>
      </c>
      <c r="G59" s="440"/>
      <c r="H59" s="290">
        <v>45934</v>
      </c>
      <c r="I59" s="91">
        <f t="shared" si="32"/>
        <v>46663</v>
      </c>
      <c r="J59" s="290">
        <v>45935</v>
      </c>
      <c r="K59" s="91">
        <f t="shared" si="33"/>
        <v>46664</v>
      </c>
      <c r="L59" s="90">
        <v>45936</v>
      </c>
      <c r="M59" s="91">
        <f t="shared" si="34"/>
        <v>46665</v>
      </c>
      <c r="N59" s="10">
        <v>45974</v>
      </c>
      <c r="O59" s="10">
        <v>46703</v>
      </c>
      <c r="P59" s="10">
        <v>45974</v>
      </c>
      <c r="Q59" s="91">
        <f t="shared" si="49"/>
        <v>46703</v>
      </c>
      <c r="R59" s="392" t="s">
        <v>231</v>
      </c>
      <c r="S59" s="392" t="s">
        <v>231</v>
      </c>
      <c r="T59" s="325">
        <v>45995</v>
      </c>
      <c r="U59" s="91">
        <f>IF(ISBLANK(T59),"",EDATE(T59,24))-1</f>
        <v>46724</v>
      </c>
      <c r="V59" s="325">
        <v>45978</v>
      </c>
      <c r="W59" s="91">
        <f>IF(ISBLANK(V59),"",EDATE(V59,24))-1</f>
        <v>46707</v>
      </c>
      <c r="X59" s="17">
        <v>45972</v>
      </c>
      <c r="Y59" s="91">
        <f>IF(ISBLANK(X59),"",EDATE(X59,24))-1</f>
        <v>46701</v>
      </c>
      <c r="Z59" s="328">
        <v>45989</v>
      </c>
      <c r="AA59" s="91">
        <f>IF(ISBLANK(Z59),"",EDATE(Z59,24))-1</f>
        <v>46718</v>
      </c>
      <c r="AB59" s="91">
        <v>45976</v>
      </c>
      <c r="AC59" s="91">
        <f>IF(ISBLANK(AB59),"",EDATE(AB59,24))-1</f>
        <v>46705</v>
      </c>
      <c r="AD59" s="91">
        <v>46000</v>
      </c>
      <c r="AE59" s="91">
        <f>IF(ISBLANK(AD59),"",EDATE(AD59,24))-1</f>
        <v>46729</v>
      </c>
      <c r="AF59" s="387"/>
      <c r="AG59" s="91" t="e">
        <f t="shared" si="29"/>
        <v>#VALUE!</v>
      </c>
      <c r="AH59" s="388"/>
      <c r="AI59" s="91" t="e">
        <f t="shared" si="25"/>
        <v>#VALUE!</v>
      </c>
      <c r="AJ59" s="388"/>
      <c r="AK59" s="91" t="e">
        <f t="shared" si="24"/>
        <v>#VALUE!</v>
      </c>
      <c r="AL59" s="393">
        <v>45941</v>
      </c>
      <c r="AM59" s="91">
        <f>IF(ISBLANK(AL59),"",EDATE(AL59,24))</f>
        <v>46671</v>
      </c>
      <c r="AN59" s="393">
        <v>45942</v>
      </c>
      <c r="AO59" s="91">
        <f t="shared" ref="AO59" si="51">IF(ISBLANK(AN59),"",EDATE(AN59,24))-1</f>
        <v>46671</v>
      </c>
      <c r="AP59" s="91"/>
      <c r="AQ59" s="91" t="e">
        <f t="shared" si="36"/>
        <v>#VALUE!</v>
      </c>
      <c r="AR59" s="238"/>
      <c r="AS59" s="91" t="e">
        <f t="shared" si="37"/>
        <v>#VALUE!</v>
      </c>
      <c r="AT59" s="10"/>
      <c r="AU59" s="91" t="e">
        <f t="shared" si="50"/>
        <v>#VALUE!</v>
      </c>
      <c r="AV59" s="10">
        <v>46078</v>
      </c>
      <c r="AW59" s="91">
        <f t="shared" si="46"/>
        <v>46807</v>
      </c>
      <c r="AX59" s="10">
        <v>46073</v>
      </c>
      <c r="AY59" s="91">
        <f t="shared" si="47"/>
        <v>46802</v>
      </c>
      <c r="AZ59" s="10"/>
      <c r="BA59" s="91" t="e">
        <f t="shared" si="42"/>
        <v>#VALUE!</v>
      </c>
      <c r="BB59" s="10"/>
      <c r="BC59" s="91" t="e">
        <f t="shared" si="31"/>
        <v>#VALUE!</v>
      </c>
      <c r="BD59" s="10"/>
      <c r="BE59" s="91" t="e">
        <f t="shared" si="48"/>
        <v>#VALUE!</v>
      </c>
      <c r="BF59" s="1"/>
      <c r="BG59" s="1"/>
      <c r="BH59" s="91"/>
      <c r="BI59" s="91"/>
      <c r="BJ59" s="91"/>
      <c r="BK59" s="91"/>
      <c r="BL59" s="10"/>
      <c r="BM59" s="91" t="e">
        <f t="shared" si="38"/>
        <v>#VALUE!</v>
      </c>
      <c r="BN59" s="10"/>
      <c r="BO59" s="10"/>
      <c r="BP59" s="10"/>
      <c r="BQ59" s="10"/>
      <c r="BR59" s="10"/>
      <c r="BS59" s="10"/>
      <c r="BT59" s="10"/>
      <c r="BU59" s="10">
        <v>45993</v>
      </c>
      <c r="BV59" s="10"/>
      <c r="BW59" s="10">
        <v>46007</v>
      </c>
      <c r="BX59" s="10"/>
      <c r="BY59" s="10">
        <v>45992</v>
      </c>
      <c r="BZ59" s="10">
        <v>46013</v>
      </c>
      <c r="CA59" s="10">
        <v>46007</v>
      </c>
      <c r="CB59" s="397"/>
      <c r="CC59" s="10"/>
      <c r="CD59" s="10"/>
      <c r="CE59" s="314"/>
      <c r="CF59" s="434">
        <v>46015</v>
      </c>
      <c r="CG59" s="314"/>
      <c r="CH59" s="209"/>
      <c r="CI59" s="91">
        <v>46049</v>
      </c>
      <c r="CJ59" s="10"/>
      <c r="CK59" s="91"/>
      <c r="CL59" s="11"/>
      <c r="CM59" s="91"/>
      <c r="CN59" s="10"/>
      <c r="CO59" s="10"/>
      <c r="CP59" s="10"/>
      <c r="CQ59" s="10">
        <v>46002</v>
      </c>
      <c r="CR59" s="10">
        <v>46002</v>
      </c>
      <c r="CS59" s="10">
        <v>46002</v>
      </c>
      <c r="CT59" s="10"/>
      <c r="CU59" s="11">
        <v>46070</v>
      </c>
      <c r="CV59" s="11"/>
      <c r="CW59" s="11"/>
      <c r="CX59" s="11"/>
      <c r="CY59" s="11"/>
    </row>
    <row r="60" spans="2:103" ht="50.25" customHeight="1">
      <c r="B60" s="462">
        <v>57</v>
      </c>
      <c r="C60" s="468" t="s">
        <v>550</v>
      </c>
      <c r="D60" s="385" t="s">
        <v>551</v>
      </c>
      <c r="E60" s="385" t="s">
        <v>552</v>
      </c>
      <c r="F60" s="385" t="s">
        <v>422</v>
      </c>
      <c r="G60" s="440"/>
      <c r="H60" s="290">
        <v>46062</v>
      </c>
      <c r="I60" s="1">
        <f t="shared" ref="I60:I76" si="52">IF(ISBLANK(H60),"",EDATE(H60,24))-1</f>
        <v>46791</v>
      </c>
      <c r="J60" s="290"/>
      <c r="K60" s="91"/>
      <c r="L60" s="290">
        <v>46058</v>
      </c>
      <c r="M60" s="91">
        <f t="shared" ref="M60:M76" si="53">IF(ISBLANK(L60),"",EDATE(L60,24))-1</f>
        <v>46787</v>
      </c>
      <c r="N60" s="418">
        <v>46084</v>
      </c>
      <c r="O60" s="11">
        <f>IF(ISBLANK(N60),"",EDATE(N60,24))-1</f>
        <v>46814</v>
      </c>
      <c r="P60" s="317">
        <v>46084</v>
      </c>
      <c r="Q60" s="91">
        <f>IF(ISBLANK(P60),"",EDATE(P60,24))-1</f>
        <v>46814</v>
      </c>
      <c r="R60" s="325"/>
      <c r="S60" s="325"/>
      <c r="T60" s="91">
        <v>46086</v>
      </c>
      <c r="U60" s="91">
        <f>IF(ISBLANK(T60),"",EDATE(T60,24))-1</f>
        <v>46816</v>
      </c>
      <c r="V60" s="325">
        <v>46091</v>
      </c>
      <c r="W60" s="91">
        <f>IF(ISBLANK(V60),"",EDATE(V60,24))-1</f>
        <v>46821</v>
      </c>
      <c r="X60" s="17"/>
      <c r="Y60" s="1"/>
      <c r="Z60" s="327"/>
      <c r="AA60" s="1"/>
      <c r="AB60" s="1"/>
      <c r="AC60" s="1"/>
      <c r="AD60" s="1"/>
      <c r="AE60" s="1"/>
      <c r="AF60" s="387">
        <v>46065</v>
      </c>
      <c r="AG60" s="1">
        <f t="shared" ref="AG60:AG76" si="54">IF(ISBLANK(AF60),"",EDATE(AF60,24))-1</f>
        <v>46794</v>
      </c>
      <c r="AH60" s="91">
        <v>46056</v>
      </c>
      <c r="AI60" s="91">
        <f>IF(ISBLANK(AH60),"",EDATE(AH60,24))-1</f>
        <v>46785</v>
      </c>
      <c r="AJ60" s="90">
        <v>46063</v>
      </c>
      <c r="AK60" s="91">
        <f t="shared" ref="AK60:AK76" si="55">IF(ISBLANK(AJ60),"",EDATE(AJ60,24))-1</f>
        <v>46792</v>
      </c>
      <c r="AL60" s="479">
        <v>46069</v>
      </c>
      <c r="AM60" s="91">
        <f>IF(ISBLANK(AL60),"",EDATE(AL60,12))-1</f>
        <v>46433</v>
      </c>
      <c r="AN60" s="325"/>
      <c r="AO60" s="1">
        <f>IF(ISBLANK(AJ60),"",EDATE(AJ60,24))</f>
        <v>46793</v>
      </c>
      <c r="AP60" s="91">
        <v>46064</v>
      </c>
      <c r="AQ60" s="91">
        <f t="shared" ref="AQ60:AQ76" si="56">IF(ISBLANK(AP60),"",EDATE(AP60,24))-1</f>
        <v>46793</v>
      </c>
      <c r="AR60" s="238"/>
      <c r="AS60" s="91"/>
      <c r="AT60" s="10"/>
      <c r="AU60" s="91" t="e">
        <f t="shared" si="50"/>
        <v>#VALUE!</v>
      </c>
      <c r="AV60" s="10"/>
      <c r="AW60" s="91" t="e">
        <f t="shared" ref="AW60:AW82" si="57">IF(ISBLANK(AV60),"",EDATE(AV60,24))-1</f>
        <v>#VALUE!</v>
      </c>
      <c r="AX60" s="10"/>
      <c r="AY60" s="91" t="e">
        <f t="shared" ref="AY60:AY82" si="58">IF(ISBLANK(AX60),"",EDATE(AX60,24))-1</f>
        <v>#VALUE!</v>
      </c>
      <c r="AZ60" s="10"/>
      <c r="BA60" s="91" t="e">
        <f t="shared" ref="BA60:BA82" si="59">IF(ISBLANK(AZ60),"",EDATE(AZ60,24))-1</f>
        <v>#VALUE!</v>
      </c>
      <c r="BB60" s="10"/>
      <c r="BC60" s="91" t="e">
        <f t="shared" ref="BC60:BC82" si="60">IF(ISBLANK(BB60),"",EDATE(BB60,24))-1</f>
        <v>#VALUE!</v>
      </c>
      <c r="BD60" s="10"/>
      <c r="BE60" s="91" t="e">
        <f t="shared" ref="BE60:BE82" si="61">IF(ISBLANK(BD60),"",EDATE(BD60,24))-1</f>
        <v>#VALUE!</v>
      </c>
      <c r="BF60" s="1"/>
      <c r="BG60" s="1"/>
      <c r="BH60" s="490"/>
      <c r="BI60" s="490"/>
      <c r="BJ60" s="490"/>
      <c r="BK60" s="490"/>
      <c r="BL60" s="11">
        <v>46072</v>
      </c>
      <c r="BM60" s="91">
        <f t="shared" ref="BM60:BM76" si="62">IF(ISBLANK(BL60),"",EDATE(BL60,24))-1</f>
        <v>46801</v>
      </c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"/>
      <c r="CC60" s="10"/>
      <c r="CD60" s="10"/>
      <c r="CE60" s="70" t="s">
        <v>232</v>
      </c>
      <c r="CF60" s="70" t="s">
        <v>232</v>
      </c>
      <c r="CG60" s="70" t="s">
        <v>232</v>
      </c>
      <c r="CH60" s="70" t="s">
        <v>232</v>
      </c>
      <c r="CI60" s="1"/>
      <c r="CJ60" s="10"/>
      <c r="CK60" s="490"/>
      <c r="CL60" s="10"/>
      <c r="CM60" s="91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</row>
    <row r="61" spans="2:103" ht="50.25" customHeight="1">
      <c r="B61" s="462">
        <v>58</v>
      </c>
      <c r="C61" s="465" t="s">
        <v>423</v>
      </c>
      <c r="D61" s="385" t="s">
        <v>424</v>
      </c>
      <c r="E61" s="385" t="s">
        <v>425</v>
      </c>
      <c r="F61" s="385" t="s">
        <v>239</v>
      </c>
      <c r="G61" s="444" t="s">
        <v>426</v>
      </c>
      <c r="H61" s="290">
        <v>45934</v>
      </c>
      <c r="I61" s="91">
        <f t="shared" si="52"/>
        <v>46663</v>
      </c>
      <c r="J61" s="290">
        <v>45935</v>
      </c>
      <c r="K61" s="91">
        <f t="shared" ref="K61:K76" si="63">IF(ISBLANK(J61),"",EDATE(J61,24))-1</f>
        <v>46664</v>
      </c>
      <c r="L61" s="290">
        <v>45936</v>
      </c>
      <c r="M61" s="91">
        <f t="shared" si="53"/>
        <v>46665</v>
      </c>
      <c r="N61" s="10">
        <v>45974</v>
      </c>
      <c r="O61" s="325">
        <v>46703</v>
      </c>
      <c r="P61" s="10">
        <v>45974</v>
      </c>
      <c r="Q61" s="91">
        <f>IF(ISBLANK(P61),"",EDATE(P61,24))-1</f>
        <v>46703</v>
      </c>
      <c r="R61" s="392" t="s">
        <v>231</v>
      </c>
      <c r="S61" s="392" t="s">
        <v>231</v>
      </c>
      <c r="T61" s="325">
        <v>45995</v>
      </c>
      <c r="U61" s="91">
        <f>IF(ISBLANK(T61),"",EDATE(T61,24))-1</f>
        <v>46724</v>
      </c>
      <c r="V61" s="325">
        <v>45978</v>
      </c>
      <c r="W61" s="91">
        <f t="shared" ref="W61:W76" si="64">IF(ISBLANK(V61),"",EDATE(V61,24))-1</f>
        <v>46707</v>
      </c>
      <c r="X61" s="17">
        <v>45972</v>
      </c>
      <c r="Y61" s="91">
        <f t="shared" ref="Y61:Y76" si="65">IF(ISBLANK(X61),"",EDATE(X61,24))-1</f>
        <v>46701</v>
      </c>
      <c r="Z61" s="328">
        <v>45989</v>
      </c>
      <c r="AA61" s="91">
        <f t="shared" ref="AA61:AA72" si="66">IF(ISBLANK(Z61),"",EDATE(Z61,24))-1</f>
        <v>46718</v>
      </c>
      <c r="AB61" s="91">
        <v>45976</v>
      </c>
      <c r="AC61" s="91">
        <f t="shared" ref="AC61:AC76" si="67">IF(ISBLANK(AB61),"",EDATE(AB61,24))-1</f>
        <v>46705</v>
      </c>
      <c r="AD61" s="91">
        <v>45998</v>
      </c>
      <c r="AE61" s="91">
        <f t="shared" ref="AE61:AE76" si="68">IF(ISBLANK(AD61),"",EDATE(AD61,24))-1</f>
        <v>46727</v>
      </c>
      <c r="AF61" s="387">
        <v>45933</v>
      </c>
      <c r="AG61" s="91">
        <f t="shared" si="54"/>
        <v>46662</v>
      </c>
      <c r="AH61" s="388">
        <v>45939</v>
      </c>
      <c r="AI61" s="91">
        <f t="shared" ref="AI61:AI76" si="69">IF(ISBLANK(AH61),"",EDATE(AH61,24))-1</f>
        <v>46668</v>
      </c>
      <c r="AJ61" s="388">
        <v>45940</v>
      </c>
      <c r="AK61" s="91">
        <f t="shared" si="55"/>
        <v>46669</v>
      </c>
      <c r="AL61" s="393">
        <v>45941</v>
      </c>
      <c r="AM61" s="91">
        <f t="shared" ref="AM61:AM66" si="70">IF(ISBLANK(AL61),"",EDATE(AL61,24))</f>
        <v>46671</v>
      </c>
      <c r="AN61" s="393">
        <v>45942</v>
      </c>
      <c r="AO61" s="91">
        <f t="shared" ref="AO61:AO76" si="71">IF(ISBLANK(AN61),"",EDATE(AN61,24))-1</f>
        <v>46671</v>
      </c>
      <c r="AP61" s="317" t="s">
        <v>232</v>
      </c>
      <c r="AQ61" s="91" t="e">
        <f t="shared" si="56"/>
        <v>#VALUE!</v>
      </c>
      <c r="AR61" s="398" t="s">
        <v>232</v>
      </c>
      <c r="AS61" s="91" t="e">
        <f t="shared" ref="AS61:AS76" si="72">IF(ISBLANK(AR61),"",EDATE(AR61,24))-1</f>
        <v>#VALUE!</v>
      </c>
      <c r="AT61" s="10"/>
      <c r="AU61" s="91" t="e">
        <f t="shared" si="50"/>
        <v>#VALUE!</v>
      </c>
      <c r="AV61" s="10"/>
      <c r="AW61" s="91" t="e">
        <f t="shared" si="57"/>
        <v>#VALUE!</v>
      </c>
      <c r="AX61" s="10">
        <v>46014</v>
      </c>
      <c r="AY61" s="91">
        <f t="shared" si="58"/>
        <v>46743</v>
      </c>
      <c r="AZ61" s="11" t="s">
        <v>232</v>
      </c>
      <c r="BA61" s="91" t="e">
        <f t="shared" si="59"/>
        <v>#VALUE!</v>
      </c>
      <c r="BB61" s="11" t="s">
        <v>232</v>
      </c>
      <c r="BC61" s="91" t="e">
        <f t="shared" si="60"/>
        <v>#VALUE!</v>
      </c>
      <c r="BD61" s="11" t="s">
        <v>232</v>
      </c>
      <c r="BE61" s="91" t="e">
        <f t="shared" si="61"/>
        <v>#VALUE!</v>
      </c>
      <c r="BF61" s="399" t="s">
        <v>232</v>
      </c>
      <c r="BG61" s="399" t="s">
        <v>232</v>
      </c>
      <c r="BH61" s="317" t="s">
        <v>232</v>
      </c>
      <c r="BI61" s="317" t="s">
        <v>232</v>
      </c>
      <c r="BJ61" s="317" t="s">
        <v>232</v>
      </c>
      <c r="BK61" s="317" t="s">
        <v>232</v>
      </c>
      <c r="BL61" s="11" t="s">
        <v>232</v>
      </c>
      <c r="BM61" s="91" t="e">
        <f t="shared" si="62"/>
        <v>#VALUE!</v>
      </c>
      <c r="BN61" s="11" t="s">
        <v>232</v>
      </c>
      <c r="BO61" s="11" t="s">
        <v>232</v>
      </c>
      <c r="BP61" s="11" t="s">
        <v>232</v>
      </c>
      <c r="BQ61" s="11" t="s">
        <v>232</v>
      </c>
      <c r="BR61" s="11" t="s">
        <v>232</v>
      </c>
      <c r="BS61" s="11" t="s">
        <v>232</v>
      </c>
      <c r="BT61" s="11" t="s">
        <v>232</v>
      </c>
      <c r="BU61" s="10">
        <v>45993</v>
      </c>
      <c r="BV61" s="11" t="s">
        <v>232</v>
      </c>
      <c r="BW61" s="10">
        <v>46007</v>
      </c>
      <c r="BX61" s="11" t="s">
        <v>232</v>
      </c>
      <c r="BY61" s="10">
        <v>45992</v>
      </c>
      <c r="BZ61" s="10">
        <v>46013</v>
      </c>
      <c r="CA61" s="10">
        <v>46007</v>
      </c>
      <c r="CB61" s="399" t="s">
        <v>232</v>
      </c>
      <c r="CC61" s="10">
        <v>46006</v>
      </c>
      <c r="CD61" s="11" t="s">
        <v>232</v>
      </c>
      <c r="CE61" s="70" t="s">
        <v>232</v>
      </c>
      <c r="CF61" s="434">
        <v>46015</v>
      </c>
      <c r="CG61" s="70" t="s">
        <v>232</v>
      </c>
      <c r="CH61" s="70" t="s">
        <v>232</v>
      </c>
      <c r="CI61" s="91">
        <v>46049</v>
      </c>
      <c r="CJ61" s="11" t="s">
        <v>232</v>
      </c>
      <c r="CK61" s="317" t="s">
        <v>232</v>
      </c>
      <c r="CL61" s="11" t="s">
        <v>232</v>
      </c>
      <c r="CM61" s="317" t="s">
        <v>232</v>
      </c>
      <c r="CN61" s="11" t="s">
        <v>232</v>
      </c>
      <c r="CO61" s="11" t="s">
        <v>232</v>
      </c>
      <c r="CP61" s="11" t="s">
        <v>232</v>
      </c>
      <c r="CQ61" s="10">
        <v>46002</v>
      </c>
      <c r="CR61" s="10">
        <v>46002</v>
      </c>
      <c r="CS61" s="10">
        <v>46002</v>
      </c>
      <c r="CT61" s="11" t="s">
        <v>232</v>
      </c>
      <c r="CU61" s="11">
        <v>46070</v>
      </c>
      <c r="CV61" s="11" t="s">
        <v>232</v>
      </c>
      <c r="CW61" s="11" t="s">
        <v>232</v>
      </c>
      <c r="CX61" s="11"/>
      <c r="CY61" s="10">
        <v>46017</v>
      </c>
    </row>
    <row r="62" spans="2:103" ht="50.25" customHeight="1">
      <c r="B62" s="462">
        <v>59</v>
      </c>
      <c r="C62" s="465" t="s">
        <v>431</v>
      </c>
      <c r="D62" s="385" t="s">
        <v>251</v>
      </c>
      <c r="E62" s="385" t="s">
        <v>432</v>
      </c>
      <c r="F62" s="385" t="s">
        <v>422</v>
      </c>
      <c r="G62" s="444" t="s">
        <v>433</v>
      </c>
      <c r="H62" s="290">
        <v>45934</v>
      </c>
      <c r="I62" s="91">
        <f t="shared" si="52"/>
        <v>46663</v>
      </c>
      <c r="J62" s="290">
        <v>45935</v>
      </c>
      <c r="K62" s="91">
        <f t="shared" si="63"/>
        <v>46664</v>
      </c>
      <c r="L62" s="319">
        <v>45936</v>
      </c>
      <c r="M62" s="91">
        <f t="shared" si="53"/>
        <v>46665</v>
      </c>
      <c r="N62" s="10">
        <v>45974</v>
      </c>
      <c r="O62" s="325">
        <v>46703</v>
      </c>
      <c r="P62" s="10">
        <v>45974</v>
      </c>
      <c r="Q62" s="91">
        <f>IF(ISBLANK(P62),"",EDATE(P62,24))-1</f>
        <v>46703</v>
      </c>
      <c r="R62" s="392" t="s">
        <v>231</v>
      </c>
      <c r="S62" s="392" t="s">
        <v>231</v>
      </c>
      <c r="T62" s="17">
        <v>45995</v>
      </c>
      <c r="U62" s="480">
        <f>IF(ISBLANK(T62),"",EDATE(T62,24))-1</f>
        <v>46724</v>
      </c>
      <c r="V62" s="325">
        <v>45978</v>
      </c>
      <c r="W62" s="91">
        <f t="shared" si="64"/>
        <v>46707</v>
      </c>
      <c r="X62" s="17">
        <v>45972</v>
      </c>
      <c r="Y62" s="91">
        <f t="shared" si="65"/>
        <v>46701</v>
      </c>
      <c r="Z62" s="328">
        <v>45989</v>
      </c>
      <c r="AA62" s="91">
        <f t="shared" si="66"/>
        <v>46718</v>
      </c>
      <c r="AB62" s="91">
        <v>45976</v>
      </c>
      <c r="AC62" s="91">
        <f t="shared" si="67"/>
        <v>46705</v>
      </c>
      <c r="AD62" s="91">
        <v>45998</v>
      </c>
      <c r="AE62" s="91">
        <f t="shared" si="68"/>
        <v>46727</v>
      </c>
      <c r="AF62" s="387">
        <v>45933</v>
      </c>
      <c r="AG62" s="91">
        <f t="shared" si="54"/>
        <v>46662</v>
      </c>
      <c r="AH62" s="485">
        <v>45939</v>
      </c>
      <c r="AI62" s="91">
        <f t="shared" si="69"/>
        <v>46668</v>
      </c>
      <c r="AJ62" s="485">
        <v>45940</v>
      </c>
      <c r="AK62" s="91">
        <f t="shared" si="55"/>
        <v>46669</v>
      </c>
      <c r="AL62" s="485">
        <v>45941</v>
      </c>
      <c r="AM62" s="91">
        <f t="shared" si="70"/>
        <v>46671</v>
      </c>
      <c r="AN62" s="395">
        <v>45942</v>
      </c>
      <c r="AO62" s="91">
        <f t="shared" si="71"/>
        <v>46671</v>
      </c>
      <c r="AP62" s="285" t="s">
        <v>232</v>
      </c>
      <c r="AQ62" s="90" t="e">
        <f t="shared" si="56"/>
        <v>#VALUE!</v>
      </c>
      <c r="AR62" s="398" t="s">
        <v>232</v>
      </c>
      <c r="AS62" s="91" t="e">
        <f t="shared" si="72"/>
        <v>#VALUE!</v>
      </c>
      <c r="AT62" s="10"/>
      <c r="AU62" s="91" t="e">
        <f t="shared" si="50"/>
        <v>#VALUE!</v>
      </c>
      <c r="AV62" s="10"/>
      <c r="AW62" s="91" t="e">
        <f t="shared" si="57"/>
        <v>#VALUE!</v>
      </c>
      <c r="AX62" s="10">
        <v>46014</v>
      </c>
      <c r="AY62" s="91">
        <f t="shared" si="58"/>
        <v>46743</v>
      </c>
      <c r="AZ62" s="11" t="s">
        <v>232</v>
      </c>
      <c r="BA62" s="91" t="e">
        <f t="shared" si="59"/>
        <v>#VALUE!</v>
      </c>
      <c r="BB62" s="11" t="s">
        <v>232</v>
      </c>
      <c r="BC62" s="91" t="e">
        <f t="shared" si="60"/>
        <v>#VALUE!</v>
      </c>
      <c r="BD62" s="11" t="s">
        <v>232</v>
      </c>
      <c r="BE62" s="91" t="e">
        <f t="shared" si="61"/>
        <v>#VALUE!</v>
      </c>
      <c r="BF62" s="11" t="s">
        <v>232</v>
      </c>
      <c r="BG62" s="11" t="s">
        <v>232</v>
      </c>
      <c r="BH62" s="285" t="s">
        <v>232</v>
      </c>
      <c r="BI62" s="285" t="s">
        <v>232</v>
      </c>
      <c r="BJ62" s="285" t="s">
        <v>232</v>
      </c>
      <c r="BK62" s="285" t="s">
        <v>232</v>
      </c>
      <c r="BL62" s="11" t="s">
        <v>232</v>
      </c>
      <c r="BM62" s="91" t="e">
        <f t="shared" si="62"/>
        <v>#VALUE!</v>
      </c>
      <c r="BN62" s="11" t="s">
        <v>232</v>
      </c>
      <c r="BO62" s="11" t="s">
        <v>232</v>
      </c>
      <c r="BP62" s="11" t="s">
        <v>232</v>
      </c>
      <c r="BQ62" s="11" t="s">
        <v>232</v>
      </c>
      <c r="BR62" s="11" t="s">
        <v>232</v>
      </c>
      <c r="BS62" s="11" t="s">
        <v>232</v>
      </c>
      <c r="BT62" s="11" t="s">
        <v>232</v>
      </c>
      <c r="BU62" s="10">
        <v>45993</v>
      </c>
      <c r="BV62" s="11" t="s">
        <v>232</v>
      </c>
      <c r="BW62" s="10">
        <v>46007</v>
      </c>
      <c r="BX62" s="11" t="s">
        <v>232</v>
      </c>
      <c r="BY62" s="10">
        <v>45992</v>
      </c>
      <c r="BZ62" s="10">
        <v>46013</v>
      </c>
      <c r="CA62" s="10">
        <v>46007</v>
      </c>
      <c r="CB62" s="401" t="s">
        <v>232</v>
      </c>
      <c r="CC62" s="10">
        <v>46006</v>
      </c>
      <c r="CD62" s="11" t="s">
        <v>232</v>
      </c>
      <c r="CE62" s="70" t="s">
        <v>232</v>
      </c>
      <c r="CF62" s="434">
        <v>46015</v>
      </c>
      <c r="CG62" s="70" t="s">
        <v>232</v>
      </c>
      <c r="CH62" s="425" t="s">
        <v>232</v>
      </c>
      <c r="CI62" s="90">
        <v>46049</v>
      </c>
      <c r="CJ62" s="11" t="s">
        <v>232</v>
      </c>
      <c r="CK62" s="317" t="s">
        <v>232</v>
      </c>
      <c r="CL62" s="11" t="s">
        <v>232</v>
      </c>
      <c r="CM62" s="317" t="s">
        <v>232</v>
      </c>
      <c r="CN62" s="11" t="s">
        <v>232</v>
      </c>
      <c r="CO62" s="11" t="s">
        <v>232</v>
      </c>
      <c r="CP62" s="11" t="s">
        <v>232</v>
      </c>
      <c r="CQ62" s="10">
        <v>46002</v>
      </c>
      <c r="CR62" s="10">
        <v>46002</v>
      </c>
      <c r="CS62" s="10">
        <v>46002</v>
      </c>
      <c r="CT62" s="11" t="s">
        <v>232</v>
      </c>
      <c r="CU62" s="11">
        <v>46070</v>
      </c>
      <c r="CV62" s="11" t="s">
        <v>232</v>
      </c>
      <c r="CW62" s="11" t="s">
        <v>232</v>
      </c>
      <c r="CX62" s="10">
        <v>45953</v>
      </c>
      <c r="CY62" s="10">
        <v>46017</v>
      </c>
    </row>
    <row r="63" spans="2:103" ht="50.25" customHeight="1">
      <c r="B63" s="462">
        <v>60</v>
      </c>
      <c r="C63" s="465" t="s">
        <v>434</v>
      </c>
      <c r="D63" s="385" t="s">
        <v>435</v>
      </c>
      <c r="E63" s="385" t="s">
        <v>436</v>
      </c>
      <c r="F63" s="385" t="s">
        <v>437</v>
      </c>
      <c r="G63" s="444"/>
      <c r="H63" s="290">
        <v>46062</v>
      </c>
      <c r="I63" s="91">
        <f t="shared" si="52"/>
        <v>46791</v>
      </c>
      <c r="J63" s="290">
        <v>46028</v>
      </c>
      <c r="K63" s="91">
        <f t="shared" si="63"/>
        <v>46757</v>
      </c>
      <c r="L63" s="290">
        <v>46058</v>
      </c>
      <c r="M63" s="91">
        <f t="shared" si="53"/>
        <v>46787</v>
      </c>
      <c r="N63" s="10">
        <v>45974</v>
      </c>
      <c r="O63" s="325">
        <v>46703</v>
      </c>
      <c r="P63" s="10">
        <v>45974</v>
      </c>
      <c r="Q63" s="479">
        <f>IF(ISBLANK(P63),"",EDATE(P63,24))-1</f>
        <v>46703</v>
      </c>
      <c r="R63" s="18">
        <v>45966</v>
      </c>
      <c r="S63" s="18">
        <v>46695</v>
      </c>
      <c r="T63" s="91">
        <v>46086</v>
      </c>
      <c r="U63" s="91">
        <f>IF(ISBLANK(T63),"",EDATE(T63,24))-1</f>
        <v>46816</v>
      </c>
      <c r="V63" s="325">
        <v>45978</v>
      </c>
      <c r="W63" s="91">
        <f t="shared" si="64"/>
        <v>46707</v>
      </c>
      <c r="X63" s="17">
        <v>45972</v>
      </c>
      <c r="Y63" s="91">
        <f t="shared" si="65"/>
        <v>46701</v>
      </c>
      <c r="Z63" s="328">
        <v>45989</v>
      </c>
      <c r="AA63" s="91">
        <f t="shared" si="66"/>
        <v>46718</v>
      </c>
      <c r="AB63" s="91">
        <v>45976</v>
      </c>
      <c r="AC63" s="91">
        <f t="shared" si="67"/>
        <v>46705</v>
      </c>
      <c r="AD63" s="91">
        <v>46000</v>
      </c>
      <c r="AE63" s="91">
        <f t="shared" si="68"/>
        <v>46729</v>
      </c>
      <c r="AF63" s="387">
        <v>46065</v>
      </c>
      <c r="AG63" s="91">
        <f t="shared" si="54"/>
        <v>46794</v>
      </c>
      <c r="AH63" s="90">
        <v>46056</v>
      </c>
      <c r="AI63" s="91">
        <f t="shared" si="69"/>
        <v>46785</v>
      </c>
      <c r="AJ63" s="90">
        <v>46063</v>
      </c>
      <c r="AK63" s="91">
        <f t="shared" si="55"/>
        <v>46792</v>
      </c>
      <c r="AL63" s="479">
        <v>46069</v>
      </c>
      <c r="AM63" s="91">
        <f t="shared" si="70"/>
        <v>46799</v>
      </c>
      <c r="AN63" s="393">
        <v>46032</v>
      </c>
      <c r="AO63" s="91">
        <f t="shared" si="71"/>
        <v>46761</v>
      </c>
      <c r="AP63" s="91">
        <v>46064</v>
      </c>
      <c r="AQ63" s="91">
        <f t="shared" si="56"/>
        <v>46793</v>
      </c>
      <c r="AR63" s="398"/>
      <c r="AS63" s="91" t="e">
        <f t="shared" si="72"/>
        <v>#VALUE!</v>
      </c>
      <c r="AT63" s="11" t="s">
        <v>231</v>
      </c>
      <c r="AU63" s="91" t="s">
        <v>231</v>
      </c>
      <c r="AV63" s="11" t="s">
        <v>231</v>
      </c>
      <c r="AW63" s="91" t="e">
        <f t="shared" si="57"/>
        <v>#VALUE!</v>
      </c>
      <c r="AX63" s="11" t="s">
        <v>231</v>
      </c>
      <c r="AY63" s="91" t="e">
        <f t="shared" si="58"/>
        <v>#VALUE!</v>
      </c>
      <c r="AZ63" s="11" t="s">
        <v>231</v>
      </c>
      <c r="BA63" s="91" t="e">
        <f t="shared" si="59"/>
        <v>#VALUE!</v>
      </c>
      <c r="BB63" s="11" t="s">
        <v>231</v>
      </c>
      <c r="BC63" s="91" t="e">
        <f t="shared" si="60"/>
        <v>#VALUE!</v>
      </c>
      <c r="BD63" s="11" t="s">
        <v>231</v>
      </c>
      <c r="BE63" s="91" t="e">
        <f t="shared" si="61"/>
        <v>#VALUE!</v>
      </c>
      <c r="BF63" s="399" t="s">
        <v>231</v>
      </c>
      <c r="BG63" s="399" t="s">
        <v>231</v>
      </c>
      <c r="BH63" s="399" t="s">
        <v>231</v>
      </c>
      <c r="BI63" s="399" t="s">
        <v>231</v>
      </c>
      <c r="BJ63" s="399" t="s">
        <v>231</v>
      </c>
      <c r="BK63" s="399" t="s">
        <v>231</v>
      </c>
      <c r="BL63" s="11">
        <v>46072</v>
      </c>
      <c r="BM63" s="91">
        <f t="shared" si="62"/>
        <v>46801</v>
      </c>
      <c r="BN63" s="11" t="s">
        <v>231</v>
      </c>
      <c r="BO63" s="11" t="s">
        <v>231</v>
      </c>
      <c r="BP63" s="11" t="s">
        <v>231</v>
      </c>
      <c r="BQ63" s="10">
        <v>46010</v>
      </c>
      <c r="BR63" s="11"/>
      <c r="BS63" s="11" t="s">
        <v>231</v>
      </c>
      <c r="BT63" s="11" t="s">
        <v>231</v>
      </c>
      <c r="BU63" s="10">
        <v>45993</v>
      </c>
      <c r="BV63" s="11"/>
      <c r="BW63" s="11"/>
      <c r="BX63" s="11"/>
      <c r="BY63" s="10">
        <v>45992</v>
      </c>
      <c r="BZ63" s="11"/>
      <c r="CA63" s="10">
        <v>46007</v>
      </c>
      <c r="CB63" s="399"/>
      <c r="CC63" s="11"/>
      <c r="CD63" s="11"/>
      <c r="CE63" s="314"/>
      <c r="CF63" s="314"/>
      <c r="CG63" s="314"/>
      <c r="CH63" s="493"/>
      <c r="CI63" s="11"/>
      <c r="CJ63" s="11"/>
      <c r="CK63" s="317"/>
      <c r="CL63" s="11" t="s">
        <v>232</v>
      </c>
      <c r="CM63" s="317"/>
      <c r="CN63" s="11"/>
      <c r="CO63" s="11"/>
      <c r="CP63" s="11"/>
      <c r="CQ63" s="10">
        <v>46002</v>
      </c>
      <c r="CR63" s="10">
        <v>46002</v>
      </c>
      <c r="CS63" s="10">
        <v>46002</v>
      </c>
      <c r="CT63" s="11"/>
      <c r="CU63" s="11"/>
      <c r="CV63" s="11"/>
      <c r="CW63" s="11"/>
      <c r="CX63" s="10"/>
      <c r="CY63" s="11"/>
    </row>
    <row r="64" spans="2:103" ht="50.25" customHeight="1">
      <c r="B64" s="462">
        <v>61</v>
      </c>
      <c r="C64" s="465" t="s">
        <v>438</v>
      </c>
      <c r="D64" s="385" t="s">
        <v>439</v>
      </c>
      <c r="E64" s="385" t="s">
        <v>440</v>
      </c>
      <c r="F64" s="385" t="s">
        <v>280</v>
      </c>
      <c r="G64" s="440" t="s">
        <v>232</v>
      </c>
      <c r="H64" s="290">
        <v>45934</v>
      </c>
      <c r="I64" s="91">
        <f t="shared" si="52"/>
        <v>46663</v>
      </c>
      <c r="J64" s="290">
        <v>45935</v>
      </c>
      <c r="K64" s="91">
        <f t="shared" si="63"/>
        <v>46664</v>
      </c>
      <c r="L64" s="290">
        <v>45936</v>
      </c>
      <c r="M64" s="91">
        <f t="shared" si="53"/>
        <v>46665</v>
      </c>
      <c r="N64" s="10">
        <v>45974</v>
      </c>
      <c r="O64" s="325">
        <v>46703</v>
      </c>
      <c r="P64" s="10">
        <v>45974</v>
      </c>
      <c r="Q64" s="325">
        <v>46703</v>
      </c>
      <c r="R64" s="18">
        <v>45966</v>
      </c>
      <c r="S64" s="18">
        <v>46695</v>
      </c>
      <c r="T64" s="392">
        <v>45995</v>
      </c>
      <c r="U64" s="91">
        <f>IF(ISBLANK(T64),"",EDATE(T64,24))-1</f>
        <v>46724</v>
      </c>
      <c r="V64" s="325">
        <v>45978</v>
      </c>
      <c r="W64" s="91">
        <f t="shared" si="64"/>
        <v>46707</v>
      </c>
      <c r="X64" s="17">
        <v>45972</v>
      </c>
      <c r="Y64" s="91">
        <f t="shared" si="65"/>
        <v>46701</v>
      </c>
      <c r="Z64" s="328">
        <v>45989</v>
      </c>
      <c r="AA64" s="91">
        <f t="shared" si="66"/>
        <v>46718</v>
      </c>
      <c r="AB64" s="91">
        <v>45976</v>
      </c>
      <c r="AC64" s="91">
        <f t="shared" si="67"/>
        <v>46705</v>
      </c>
      <c r="AD64" s="91">
        <v>46000</v>
      </c>
      <c r="AE64" s="91">
        <f t="shared" si="68"/>
        <v>46729</v>
      </c>
      <c r="AF64" s="387">
        <v>45933</v>
      </c>
      <c r="AG64" s="91">
        <f t="shared" si="54"/>
        <v>46662</v>
      </c>
      <c r="AH64" s="388">
        <v>45939</v>
      </c>
      <c r="AI64" s="91">
        <f t="shared" si="69"/>
        <v>46668</v>
      </c>
      <c r="AJ64" s="388">
        <v>45940</v>
      </c>
      <c r="AK64" s="91">
        <f t="shared" si="55"/>
        <v>46669</v>
      </c>
      <c r="AL64" s="393">
        <v>45941</v>
      </c>
      <c r="AM64" s="91">
        <f t="shared" si="70"/>
        <v>46671</v>
      </c>
      <c r="AN64" s="393">
        <v>45942</v>
      </c>
      <c r="AO64" s="91">
        <f t="shared" si="71"/>
        <v>46671</v>
      </c>
      <c r="AP64" s="317" t="s">
        <v>232</v>
      </c>
      <c r="AQ64" s="91" t="e">
        <f t="shared" si="56"/>
        <v>#VALUE!</v>
      </c>
      <c r="AR64" s="398" t="s">
        <v>232</v>
      </c>
      <c r="AS64" s="91" t="e">
        <f t="shared" si="72"/>
        <v>#VALUE!</v>
      </c>
      <c r="AT64" s="10"/>
      <c r="AU64" s="91" t="e">
        <f t="shared" ref="AU64:AU82" si="73">IF(ISBLANK(AT64),"",EDATE(AT64,24))-1</f>
        <v>#VALUE!</v>
      </c>
      <c r="AV64" s="10"/>
      <c r="AW64" s="91" t="e">
        <f t="shared" si="57"/>
        <v>#VALUE!</v>
      </c>
      <c r="AX64" s="11" t="s">
        <v>232</v>
      </c>
      <c r="AY64" s="91" t="e">
        <f t="shared" si="58"/>
        <v>#VALUE!</v>
      </c>
      <c r="AZ64" s="11" t="s">
        <v>232</v>
      </c>
      <c r="BA64" s="91" t="e">
        <f t="shared" si="59"/>
        <v>#VALUE!</v>
      </c>
      <c r="BB64" s="11" t="s">
        <v>232</v>
      </c>
      <c r="BC64" s="91" t="e">
        <f t="shared" si="60"/>
        <v>#VALUE!</v>
      </c>
      <c r="BD64" s="11" t="s">
        <v>232</v>
      </c>
      <c r="BE64" s="91" t="e">
        <f t="shared" si="61"/>
        <v>#VALUE!</v>
      </c>
      <c r="BF64" s="399" t="s">
        <v>232</v>
      </c>
      <c r="BG64" s="399" t="s">
        <v>232</v>
      </c>
      <c r="BH64" s="317" t="s">
        <v>232</v>
      </c>
      <c r="BI64" s="317" t="s">
        <v>232</v>
      </c>
      <c r="BJ64" s="317" t="s">
        <v>232</v>
      </c>
      <c r="BK64" s="317" t="s">
        <v>232</v>
      </c>
      <c r="BL64" s="11" t="s">
        <v>232</v>
      </c>
      <c r="BM64" s="91" t="e">
        <f t="shared" si="62"/>
        <v>#VALUE!</v>
      </c>
      <c r="BN64" s="11" t="s">
        <v>232</v>
      </c>
      <c r="BO64" s="11" t="s">
        <v>232</v>
      </c>
      <c r="BP64" s="11" t="s">
        <v>232</v>
      </c>
      <c r="BQ64" s="11" t="s">
        <v>232</v>
      </c>
      <c r="BR64" s="11" t="s">
        <v>232</v>
      </c>
      <c r="BS64" s="11" t="s">
        <v>232</v>
      </c>
      <c r="BT64" s="11" t="s">
        <v>232</v>
      </c>
      <c r="BU64" s="10">
        <v>45993</v>
      </c>
      <c r="BV64" s="11" t="s">
        <v>232</v>
      </c>
      <c r="BW64" s="10">
        <v>46007</v>
      </c>
      <c r="BX64" s="11" t="s">
        <v>232</v>
      </c>
      <c r="BY64" s="10">
        <v>45992</v>
      </c>
      <c r="BZ64" s="11" t="s">
        <v>232</v>
      </c>
      <c r="CA64" s="11" t="s">
        <v>232</v>
      </c>
      <c r="CB64" s="399" t="s">
        <v>232</v>
      </c>
      <c r="CC64" s="11" t="s">
        <v>232</v>
      </c>
      <c r="CD64" s="11" t="s">
        <v>232</v>
      </c>
      <c r="CE64" s="70" t="s">
        <v>232</v>
      </c>
      <c r="CF64" s="434">
        <v>46015</v>
      </c>
      <c r="CG64" s="70" t="s">
        <v>232</v>
      </c>
      <c r="CH64" s="70" t="s">
        <v>232</v>
      </c>
      <c r="CI64" s="11" t="s">
        <v>232</v>
      </c>
      <c r="CJ64" s="11" t="s">
        <v>232</v>
      </c>
      <c r="CK64" s="317" t="s">
        <v>232</v>
      </c>
      <c r="CL64" s="11" t="s">
        <v>232</v>
      </c>
      <c r="CM64" s="317" t="s">
        <v>232</v>
      </c>
      <c r="CN64" s="11" t="s">
        <v>232</v>
      </c>
      <c r="CO64" s="11" t="s">
        <v>232</v>
      </c>
      <c r="CP64" s="11" t="s">
        <v>232</v>
      </c>
      <c r="CQ64" s="10">
        <v>46002</v>
      </c>
      <c r="CR64" s="10">
        <v>46002</v>
      </c>
      <c r="CS64" s="10">
        <v>46002</v>
      </c>
      <c r="CT64" s="11" t="s">
        <v>232</v>
      </c>
      <c r="CU64" s="11" t="s">
        <v>232</v>
      </c>
      <c r="CV64" s="11" t="s">
        <v>232</v>
      </c>
      <c r="CW64" s="11" t="s">
        <v>232</v>
      </c>
      <c r="CX64" s="10">
        <v>45953</v>
      </c>
      <c r="CY64" s="11"/>
    </row>
    <row r="65" spans="2:103" ht="50.25" customHeight="1">
      <c r="B65" s="462">
        <v>62</v>
      </c>
      <c r="C65" s="465" t="s">
        <v>441</v>
      </c>
      <c r="D65" s="385" t="s">
        <v>442</v>
      </c>
      <c r="E65" s="385" t="s">
        <v>443</v>
      </c>
      <c r="F65" s="385" t="s">
        <v>444</v>
      </c>
      <c r="G65" s="440" t="s">
        <v>445</v>
      </c>
      <c r="H65" s="290">
        <v>45934</v>
      </c>
      <c r="I65" s="91">
        <f t="shared" si="52"/>
        <v>46663</v>
      </c>
      <c r="J65" s="290">
        <v>45935</v>
      </c>
      <c r="K65" s="91">
        <f t="shared" si="63"/>
        <v>46664</v>
      </c>
      <c r="L65" s="290">
        <v>45936</v>
      </c>
      <c r="M65" s="91">
        <f t="shared" si="53"/>
        <v>46665</v>
      </c>
      <c r="N65" s="10">
        <v>45974</v>
      </c>
      <c r="O65" s="325">
        <v>46703</v>
      </c>
      <c r="P65" s="10">
        <v>45974</v>
      </c>
      <c r="Q65" s="325">
        <v>46703</v>
      </c>
      <c r="R65" s="18">
        <v>45966</v>
      </c>
      <c r="S65" s="18">
        <v>46695</v>
      </c>
      <c r="T65" s="392">
        <v>45995</v>
      </c>
      <c r="U65" s="91">
        <f>IF(ISBLANK(T65),"",EDATE(T65,24))-1</f>
        <v>46724</v>
      </c>
      <c r="V65" s="325">
        <v>45978</v>
      </c>
      <c r="W65" s="91">
        <f t="shared" si="64"/>
        <v>46707</v>
      </c>
      <c r="X65" s="17">
        <v>45972</v>
      </c>
      <c r="Y65" s="91">
        <f t="shared" si="65"/>
        <v>46701</v>
      </c>
      <c r="Z65" s="328">
        <v>45989</v>
      </c>
      <c r="AA65" s="91">
        <f t="shared" si="66"/>
        <v>46718</v>
      </c>
      <c r="AB65" s="91">
        <v>45976</v>
      </c>
      <c r="AC65" s="91">
        <f t="shared" si="67"/>
        <v>46705</v>
      </c>
      <c r="AD65" s="91">
        <v>46000</v>
      </c>
      <c r="AE65" s="91">
        <f t="shared" si="68"/>
        <v>46729</v>
      </c>
      <c r="AF65" s="387">
        <v>45933</v>
      </c>
      <c r="AG65" s="91">
        <f t="shared" si="54"/>
        <v>46662</v>
      </c>
      <c r="AH65" s="388">
        <v>45939</v>
      </c>
      <c r="AI65" s="91">
        <f t="shared" si="69"/>
        <v>46668</v>
      </c>
      <c r="AJ65" s="388">
        <v>45940</v>
      </c>
      <c r="AK65" s="91">
        <f t="shared" si="55"/>
        <v>46669</v>
      </c>
      <c r="AL65" s="393">
        <v>45941</v>
      </c>
      <c r="AM65" s="91">
        <f t="shared" si="70"/>
        <v>46671</v>
      </c>
      <c r="AN65" s="393">
        <v>45942</v>
      </c>
      <c r="AO65" s="91">
        <f t="shared" si="71"/>
        <v>46671</v>
      </c>
      <c r="AP65" s="317" t="s">
        <v>232</v>
      </c>
      <c r="AQ65" s="91" t="e">
        <f t="shared" si="56"/>
        <v>#VALUE!</v>
      </c>
      <c r="AR65" s="398" t="s">
        <v>232</v>
      </c>
      <c r="AS65" s="91" t="e">
        <f t="shared" si="72"/>
        <v>#VALUE!</v>
      </c>
      <c r="AT65" s="10"/>
      <c r="AU65" s="91" t="e">
        <f t="shared" si="73"/>
        <v>#VALUE!</v>
      </c>
      <c r="AV65" s="10"/>
      <c r="AW65" s="91" t="e">
        <f t="shared" si="57"/>
        <v>#VALUE!</v>
      </c>
      <c r="AX65" s="11" t="s">
        <v>232</v>
      </c>
      <c r="AY65" s="91" t="e">
        <f t="shared" si="58"/>
        <v>#VALUE!</v>
      </c>
      <c r="AZ65" s="11">
        <v>46066</v>
      </c>
      <c r="BA65" s="91">
        <f t="shared" si="59"/>
        <v>46795</v>
      </c>
      <c r="BB65" s="11" t="s">
        <v>232</v>
      </c>
      <c r="BC65" s="91" t="e">
        <f t="shared" si="60"/>
        <v>#VALUE!</v>
      </c>
      <c r="BD65" s="11" t="s">
        <v>232</v>
      </c>
      <c r="BE65" s="91" t="e">
        <f t="shared" si="61"/>
        <v>#VALUE!</v>
      </c>
      <c r="BF65" s="399" t="s">
        <v>232</v>
      </c>
      <c r="BG65" s="399" t="s">
        <v>232</v>
      </c>
      <c r="BH65" s="317" t="s">
        <v>232</v>
      </c>
      <c r="BI65" s="317" t="s">
        <v>232</v>
      </c>
      <c r="BJ65" s="317">
        <v>46089</v>
      </c>
      <c r="BK65" s="317">
        <f>IF(ISBLANK(BJ65),"",EDATE(BJ65,24))-1</f>
        <v>46819</v>
      </c>
      <c r="BL65" s="11" t="s">
        <v>232</v>
      </c>
      <c r="BM65" s="91" t="e">
        <f t="shared" si="62"/>
        <v>#VALUE!</v>
      </c>
      <c r="BN65" s="11" t="s">
        <v>232</v>
      </c>
      <c r="BO65" s="11" t="s">
        <v>232</v>
      </c>
      <c r="BP65" s="11" t="s">
        <v>232</v>
      </c>
      <c r="BQ65" s="11" t="s">
        <v>232</v>
      </c>
      <c r="BR65" s="11" t="s">
        <v>232</v>
      </c>
      <c r="BS65" s="11" t="s">
        <v>232</v>
      </c>
      <c r="BT65" s="11" t="s">
        <v>232</v>
      </c>
      <c r="BU65" s="10">
        <v>45993</v>
      </c>
      <c r="BV65" s="11" t="s">
        <v>232</v>
      </c>
      <c r="BW65" s="10">
        <v>46007</v>
      </c>
      <c r="BX65" s="11" t="s">
        <v>232</v>
      </c>
      <c r="BY65" s="10">
        <v>45992</v>
      </c>
      <c r="BZ65" s="11" t="s">
        <v>232</v>
      </c>
      <c r="CA65" s="10">
        <v>46007</v>
      </c>
      <c r="CB65" s="399" t="s">
        <v>232</v>
      </c>
      <c r="CC65" s="11" t="s">
        <v>232</v>
      </c>
      <c r="CD65" s="11" t="s">
        <v>232</v>
      </c>
      <c r="CE65" s="70" t="s">
        <v>232</v>
      </c>
      <c r="CF65" s="434">
        <v>46015</v>
      </c>
      <c r="CG65" s="70" t="s">
        <v>232</v>
      </c>
      <c r="CH65" s="70" t="s">
        <v>232</v>
      </c>
      <c r="CI65" s="11" t="s">
        <v>232</v>
      </c>
      <c r="CJ65" s="11" t="s">
        <v>232</v>
      </c>
      <c r="CK65" s="317" t="s">
        <v>232</v>
      </c>
      <c r="CL65" s="11" t="s">
        <v>232</v>
      </c>
      <c r="CM65" s="317" t="s">
        <v>232</v>
      </c>
      <c r="CN65" s="11" t="s">
        <v>232</v>
      </c>
      <c r="CO65" s="11" t="s">
        <v>232</v>
      </c>
      <c r="CP65" s="11" t="s">
        <v>232</v>
      </c>
      <c r="CQ65" s="10">
        <v>46002</v>
      </c>
      <c r="CR65" s="10">
        <v>46002</v>
      </c>
      <c r="CS65" s="10">
        <v>46002</v>
      </c>
      <c r="CT65" s="11" t="s">
        <v>232</v>
      </c>
      <c r="CU65" s="11" t="s">
        <v>232</v>
      </c>
      <c r="CV65" s="11" t="s">
        <v>232</v>
      </c>
      <c r="CW65" s="11" t="s">
        <v>232</v>
      </c>
      <c r="CX65" s="11"/>
      <c r="CY65" s="11"/>
    </row>
    <row r="66" spans="2:103" ht="50.25" customHeight="1">
      <c r="B66" s="462">
        <v>63</v>
      </c>
      <c r="C66" s="465" t="s">
        <v>446</v>
      </c>
      <c r="D66" s="385" t="s">
        <v>447</v>
      </c>
      <c r="E66" s="385" t="s">
        <v>448</v>
      </c>
      <c r="F66" s="385" t="s">
        <v>280</v>
      </c>
      <c r="G66" s="440" t="s">
        <v>232</v>
      </c>
      <c r="H66" s="290">
        <v>45934</v>
      </c>
      <c r="I66" s="91">
        <f t="shared" si="52"/>
        <v>46663</v>
      </c>
      <c r="J66" s="290">
        <v>45935</v>
      </c>
      <c r="K66" s="91">
        <f t="shared" si="63"/>
        <v>46664</v>
      </c>
      <c r="L66" s="290">
        <v>45936</v>
      </c>
      <c r="M66" s="91">
        <f t="shared" si="53"/>
        <v>46665</v>
      </c>
      <c r="N66" s="10">
        <v>45974</v>
      </c>
      <c r="O66" s="325">
        <v>46703</v>
      </c>
      <c r="P66" s="10">
        <v>45974</v>
      </c>
      <c r="Q66" s="325">
        <v>46703</v>
      </c>
      <c r="R66" s="18">
        <v>45966</v>
      </c>
      <c r="S66" s="18">
        <v>46695</v>
      </c>
      <c r="T66" s="392">
        <v>45995</v>
      </c>
      <c r="U66" s="479">
        <f>IF(ISBLANK(T66),"",EDATE(T66,24))-1</f>
        <v>46724</v>
      </c>
      <c r="V66" s="325">
        <v>45978</v>
      </c>
      <c r="W66" s="91">
        <f t="shared" si="64"/>
        <v>46707</v>
      </c>
      <c r="X66" s="17">
        <v>45972</v>
      </c>
      <c r="Y66" s="91">
        <f t="shared" si="65"/>
        <v>46701</v>
      </c>
      <c r="Z66" s="328">
        <v>45989</v>
      </c>
      <c r="AA66" s="91">
        <f t="shared" si="66"/>
        <v>46718</v>
      </c>
      <c r="AB66" s="91">
        <v>45976</v>
      </c>
      <c r="AC66" s="91">
        <f t="shared" si="67"/>
        <v>46705</v>
      </c>
      <c r="AD66" s="91">
        <v>46000</v>
      </c>
      <c r="AE66" s="91">
        <f t="shared" si="68"/>
        <v>46729</v>
      </c>
      <c r="AF66" s="387">
        <v>45933</v>
      </c>
      <c r="AG66" s="91">
        <f t="shared" si="54"/>
        <v>46662</v>
      </c>
      <c r="AH66" s="388">
        <v>45939</v>
      </c>
      <c r="AI66" s="91">
        <f t="shared" si="69"/>
        <v>46668</v>
      </c>
      <c r="AJ66" s="388">
        <v>45940</v>
      </c>
      <c r="AK66" s="91">
        <f t="shared" si="55"/>
        <v>46669</v>
      </c>
      <c r="AL66" s="395">
        <v>45941</v>
      </c>
      <c r="AM66" s="91">
        <f t="shared" si="70"/>
        <v>46671</v>
      </c>
      <c r="AN66" s="395">
        <v>45942</v>
      </c>
      <c r="AO66" s="91">
        <f t="shared" si="71"/>
        <v>46671</v>
      </c>
      <c r="AP66" s="317" t="s">
        <v>232</v>
      </c>
      <c r="AQ66" s="91" t="e">
        <f t="shared" si="56"/>
        <v>#VALUE!</v>
      </c>
      <c r="AR66" s="398" t="s">
        <v>232</v>
      </c>
      <c r="AS66" s="91" t="e">
        <f t="shared" si="72"/>
        <v>#VALUE!</v>
      </c>
      <c r="AT66" s="10"/>
      <c r="AU66" s="91" t="e">
        <f t="shared" si="73"/>
        <v>#VALUE!</v>
      </c>
      <c r="AV66" s="10"/>
      <c r="AW66" s="91" t="e">
        <f t="shared" si="57"/>
        <v>#VALUE!</v>
      </c>
      <c r="AX66" s="11" t="s">
        <v>232</v>
      </c>
      <c r="AY66" s="91" t="e">
        <f t="shared" si="58"/>
        <v>#VALUE!</v>
      </c>
      <c r="AZ66" s="11" t="s">
        <v>232</v>
      </c>
      <c r="BA66" s="91" t="e">
        <f t="shared" si="59"/>
        <v>#VALUE!</v>
      </c>
      <c r="BB66" s="11" t="s">
        <v>232</v>
      </c>
      <c r="BC66" s="91" t="e">
        <f t="shared" si="60"/>
        <v>#VALUE!</v>
      </c>
      <c r="BD66" s="11" t="s">
        <v>232</v>
      </c>
      <c r="BE66" s="91" t="e">
        <f t="shared" si="61"/>
        <v>#VALUE!</v>
      </c>
      <c r="BF66" s="399" t="s">
        <v>232</v>
      </c>
      <c r="BG66" s="399" t="s">
        <v>232</v>
      </c>
      <c r="BH66" s="317" t="s">
        <v>232</v>
      </c>
      <c r="BI66" s="317" t="s">
        <v>232</v>
      </c>
      <c r="BJ66" s="317" t="s">
        <v>232</v>
      </c>
      <c r="BK66" s="317" t="s">
        <v>232</v>
      </c>
      <c r="BL66" s="11" t="s">
        <v>232</v>
      </c>
      <c r="BM66" s="91" t="e">
        <f t="shared" si="62"/>
        <v>#VALUE!</v>
      </c>
      <c r="BN66" s="11" t="s">
        <v>232</v>
      </c>
      <c r="BO66" s="11" t="s">
        <v>232</v>
      </c>
      <c r="BP66" s="11" t="s">
        <v>232</v>
      </c>
      <c r="BQ66" s="11" t="s">
        <v>232</v>
      </c>
      <c r="BR66" s="11" t="s">
        <v>232</v>
      </c>
      <c r="BS66" s="11" t="s">
        <v>232</v>
      </c>
      <c r="BT66" s="11" t="s">
        <v>232</v>
      </c>
      <c r="BU66" s="10">
        <v>45993</v>
      </c>
      <c r="BV66" s="11" t="s">
        <v>232</v>
      </c>
      <c r="BW66" s="10">
        <v>46007</v>
      </c>
      <c r="BX66" s="11" t="s">
        <v>232</v>
      </c>
      <c r="BY66" s="10">
        <v>45992</v>
      </c>
      <c r="BZ66" s="11" t="s">
        <v>232</v>
      </c>
      <c r="CA66" s="10">
        <v>46007</v>
      </c>
      <c r="CB66" s="401" t="s">
        <v>232</v>
      </c>
      <c r="CC66" s="11" t="s">
        <v>232</v>
      </c>
      <c r="CD66" s="11" t="s">
        <v>232</v>
      </c>
      <c r="CE66" s="70" t="s">
        <v>232</v>
      </c>
      <c r="CF66" s="70" t="s">
        <v>232</v>
      </c>
      <c r="CG66" s="70" t="s">
        <v>232</v>
      </c>
      <c r="CH66" s="425" t="s">
        <v>232</v>
      </c>
      <c r="CI66" s="11" t="s">
        <v>232</v>
      </c>
      <c r="CJ66" s="11" t="s">
        <v>232</v>
      </c>
      <c r="CK66" s="317" t="s">
        <v>232</v>
      </c>
      <c r="CL66" s="11" t="s">
        <v>232</v>
      </c>
      <c r="CM66" s="317" t="s">
        <v>232</v>
      </c>
      <c r="CN66" s="11" t="s">
        <v>232</v>
      </c>
      <c r="CO66" s="11" t="s">
        <v>232</v>
      </c>
      <c r="CP66" s="11" t="s">
        <v>232</v>
      </c>
      <c r="CQ66" s="10">
        <v>46002</v>
      </c>
      <c r="CR66" s="10">
        <v>46002</v>
      </c>
      <c r="CS66" s="10">
        <v>46002</v>
      </c>
      <c r="CT66" s="11" t="s">
        <v>232</v>
      </c>
      <c r="CU66" s="11" t="s">
        <v>232</v>
      </c>
      <c r="CV66" s="11" t="s">
        <v>232</v>
      </c>
      <c r="CW66" s="11" t="s">
        <v>232</v>
      </c>
      <c r="CX66" s="10">
        <v>45953</v>
      </c>
      <c r="CY66" s="11"/>
    </row>
    <row r="67" spans="2:103" ht="50.25" customHeight="1">
      <c r="B67" s="462">
        <v>64</v>
      </c>
      <c r="C67" s="465" t="s">
        <v>449</v>
      </c>
      <c r="D67" s="385" t="s">
        <v>450</v>
      </c>
      <c r="E67" s="385" t="s">
        <v>451</v>
      </c>
      <c r="F67" s="385" t="s">
        <v>280</v>
      </c>
      <c r="G67" s="440"/>
      <c r="H67" s="290">
        <v>45934</v>
      </c>
      <c r="I67" s="91">
        <f t="shared" si="52"/>
        <v>46663</v>
      </c>
      <c r="J67" s="290">
        <v>45935</v>
      </c>
      <c r="K67" s="91">
        <f t="shared" si="63"/>
        <v>46664</v>
      </c>
      <c r="L67" s="290">
        <v>45936</v>
      </c>
      <c r="M67" s="91">
        <f t="shared" si="53"/>
        <v>46665</v>
      </c>
      <c r="N67" s="10">
        <v>45974</v>
      </c>
      <c r="O67" s="325">
        <v>46703</v>
      </c>
      <c r="P67" s="10">
        <v>45974</v>
      </c>
      <c r="Q67" s="325">
        <v>46703</v>
      </c>
      <c r="R67" s="18">
        <v>45966</v>
      </c>
      <c r="S67" s="18">
        <v>46695</v>
      </c>
      <c r="T67" s="392">
        <v>45995</v>
      </c>
      <c r="U67" s="399">
        <v>46724</v>
      </c>
      <c r="V67" s="325">
        <v>45978</v>
      </c>
      <c r="W67" s="91">
        <f t="shared" si="64"/>
        <v>46707</v>
      </c>
      <c r="X67" s="17">
        <v>45972</v>
      </c>
      <c r="Y67" s="91">
        <f t="shared" si="65"/>
        <v>46701</v>
      </c>
      <c r="Z67" s="328">
        <v>45989</v>
      </c>
      <c r="AA67" s="91">
        <f t="shared" si="66"/>
        <v>46718</v>
      </c>
      <c r="AB67" s="91">
        <v>45976</v>
      </c>
      <c r="AC67" s="91">
        <f t="shared" si="67"/>
        <v>46705</v>
      </c>
      <c r="AD67" s="91">
        <v>46000</v>
      </c>
      <c r="AE67" s="91">
        <f t="shared" si="68"/>
        <v>46729</v>
      </c>
      <c r="AF67" s="387"/>
      <c r="AG67" s="91" t="e">
        <f t="shared" si="54"/>
        <v>#VALUE!</v>
      </c>
      <c r="AH67" s="388"/>
      <c r="AI67" s="91" t="e">
        <f t="shared" si="69"/>
        <v>#VALUE!</v>
      </c>
      <c r="AJ67" s="388"/>
      <c r="AK67" s="91" t="e">
        <f t="shared" si="55"/>
        <v>#VALUE!</v>
      </c>
      <c r="AL67" s="393"/>
      <c r="AM67" s="1"/>
      <c r="AN67" s="393"/>
      <c r="AO67" s="91" t="e">
        <f t="shared" si="71"/>
        <v>#VALUE!</v>
      </c>
      <c r="AP67" s="317"/>
      <c r="AQ67" s="91" t="e">
        <f t="shared" si="56"/>
        <v>#VALUE!</v>
      </c>
      <c r="AR67" s="398"/>
      <c r="AS67" s="91" t="e">
        <f t="shared" si="72"/>
        <v>#VALUE!</v>
      </c>
      <c r="AT67" s="10"/>
      <c r="AU67" s="91" t="e">
        <f t="shared" si="73"/>
        <v>#VALUE!</v>
      </c>
      <c r="AV67" s="10"/>
      <c r="AW67" s="91" t="e">
        <f t="shared" si="57"/>
        <v>#VALUE!</v>
      </c>
      <c r="AX67" s="11"/>
      <c r="AY67" s="91" t="e">
        <f t="shared" si="58"/>
        <v>#VALUE!</v>
      </c>
      <c r="AZ67" s="11"/>
      <c r="BA67" s="91" t="e">
        <f t="shared" si="59"/>
        <v>#VALUE!</v>
      </c>
      <c r="BB67" s="11"/>
      <c r="BC67" s="91" t="e">
        <f t="shared" si="60"/>
        <v>#VALUE!</v>
      </c>
      <c r="BD67" s="11"/>
      <c r="BE67" s="91" t="e">
        <f t="shared" si="61"/>
        <v>#VALUE!</v>
      </c>
      <c r="BF67" s="399"/>
      <c r="BG67" s="399"/>
      <c r="BH67" s="317"/>
      <c r="BI67" s="317"/>
      <c r="BJ67" s="317"/>
      <c r="BK67" s="317"/>
      <c r="BL67" s="11"/>
      <c r="BM67" s="91" t="e">
        <f t="shared" si="62"/>
        <v>#VALUE!</v>
      </c>
      <c r="BN67" s="11"/>
      <c r="BO67" s="11"/>
      <c r="BP67" s="11"/>
      <c r="BQ67" s="11"/>
      <c r="BR67" s="11"/>
      <c r="BS67" s="11"/>
      <c r="BT67" s="11"/>
      <c r="BU67" s="10">
        <v>45993</v>
      </c>
      <c r="BV67" s="11"/>
      <c r="BW67" s="10">
        <v>46007</v>
      </c>
      <c r="BX67" s="11"/>
      <c r="BY67" s="10">
        <v>45992</v>
      </c>
      <c r="BZ67" s="11"/>
      <c r="CA67" s="10">
        <v>46007</v>
      </c>
      <c r="CB67" s="399"/>
      <c r="CC67" s="11"/>
      <c r="CD67" s="11"/>
      <c r="CE67" s="314"/>
      <c r="CF67" s="434">
        <v>46015</v>
      </c>
      <c r="CG67" s="314"/>
      <c r="CH67" s="493"/>
      <c r="CI67" s="11"/>
      <c r="CJ67" s="11"/>
      <c r="CK67" s="317"/>
      <c r="CL67" s="11" t="s">
        <v>232</v>
      </c>
      <c r="CM67" s="317"/>
      <c r="CN67" s="11"/>
      <c r="CO67" s="11"/>
      <c r="CP67" s="11"/>
      <c r="CQ67" s="10">
        <v>46002</v>
      </c>
      <c r="CR67" s="10">
        <v>46002</v>
      </c>
      <c r="CS67" s="10">
        <v>46002</v>
      </c>
      <c r="CT67" s="11"/>
      <c r="CU67" s="11"/>
      <c r="CV67" s="11"/>
      <c r="CW67" s="11"/>
      <c r="CX67" s="10"/>
      <c r="CY67" s="11"/>
    </row>
    <row r="68" spans="2:103" ht="50.25" customHeight="1">
      <c r="B68" s="462">
        <v>65</v>
      </c>
      <c r="C68" s="465" t="s">
        <v>452</v>
      </c>
      <c r="D68" s="385" t="s">
        <v>453</v>
      </c>
      <c r="E68" s="385" t="s">
        <v>454</v>
      </c>
      <c r="F68" s="385" t="s">
        <v>455</v>
      </c>
      <c r="G68" s="444" t="s">
        <v>232</v>
      </c>
      <c r="H68" s="290">
        <v>45934</v>
      </c>
      <c r="I68" s="91">
        <f t="shared" si="52"/>
        <v>46663</v>
      </c>
      <c r="J68" s="290">
        <v>45935</v>
      </c>
      <c r="K68" s="91">
        <f t="shared" si="63"/>
        <v>46664</v>
      </c>
      <c r="L68" s="290">
        <v>45936</v>
      </c>
      <c r="M68" s="91">
        <f t="shared" si="53"/>
        <v>46665</v>
      </c>
      <c r="N68" s="10">
        <v>45974</v>
      </c>
      <c r="O68" s="325">
        <v>46703</v>
      </c>
      <c r="P68" s="10">
        <v>45974</v>
      </c>
      <c r="Q68" s="325">
        <v>46703</v>
      </c>
      <c r="R68" s="18">
        <v>45966</v>
      </c>
      <c r="S68" s="18">
        <v>46695</v>
      </c>
      <c r="T68" s="392">
        <v>45995</v>
      </c>
      <c r="U68" s="91">
        <f>IF(ISBLANK(T68),"",EDATE(T68,24))-1</f>
        <v>46724</v>
      </c>
      <c r="V68" s="325">
        <v>45978</v>
      </c>
      <c r="W68" s="91">
        <f t="shared" si="64"/>
        <v>46707</v>
      </c>
      <c r="X68" s="17">
        <v>45972</v>
      </c>
      <c r="Y68" s="91">
        <f t="shared" si="65"/>
        <v>46701</v>
      </c>
      <c r="Z68" s="328">
        <v>45989</v>
      </c>
      <c r="AA68" s="91">
        <f t="shared" si="66"/>
        <v>46718</v>
      </c>
      <c r="AB68" s="91">
        <v>45976</v>
      </c>
      <c r="AC68" s="91">
        <f t="shared" si="67"/>
        <v>46705</v>
      </c>
      <c r="AD68" s="91">
        <v>46000</v>
      </c>
      <c r="AE68" s="91">
        <f t="shared" si="68"/>
        <v>46729</v>
      </c>
      <c r="AF68" s="387">
        <v>45933</v>
      </c>
      <c r="AG68" s="91">
        <f t="shared" si="54"/>
        <v>46662</v>
      </c>
      <c r="AH68" s="388">
        <v>45939</v>
      </c>
      <c r="AI68" s="91">
        <f t="shared" si="69"/>
        <v>46668</v>
      </c>
      <c r="AJ68" s="388">
        <v>45940</v>
      </c>
      <c r="AK68" s="91">
        <f t="shared" si="55"/>
        <v>46669</v>
      </c>
      <c r="AL68" s="393">
        <v>45941</v>
      </c>
      <c r="AM68" s="91">
        <f t="shared" ref="AM68:AM76" si="74">IF(ISBLANK(AL68),"",EDATE(AL68,24))</f>
        <v>46671</v>
      </c>
      <c r="AN68" s="393">
        <v>45942</v>
      </c>
      <c r="AO68" s="91">
        <f t="shared" si="71"/>
        <v>46671</v>
      </c>
      <c r="AP68" s="317" t="s">
        <v>232</v>
      </c>
      <c r="AQ68" s="91" t="e">
        <f t="shared" si="56"/>
        <v>#VALUE!</v>
      </c>
      <c r="AR68" s="398" t="s">
        <v>232</v>
      </c>
      <c r="AS68" s="91" t="e">
        <f t="shared" si="72"/>
        <v>#VALUE!</v>
      </c>
      <c r="AT68" s="10"/>
      <c r="AU68" s="91" t="e">
        <f t="shared" si="73"/>
        <v>#VALUE!</v>
      </c>
      <c r="AV68" s="10"/>
      <c r="AW68" s="91" t="e">
        <f t="shared" si="57"/>
        <v>#VALUE!</v>
      </c>
      <c r="AX68" s="11" t="s">
        <v>232</v>
      </c>
      <c r="AY68" s="91" t="e">
        <f t="shared" si="58"/>
        <v>#VALUE!</v>
      </c>
      <c r="AZ68" s="11" t="s">
        <v>232</v>
      </c>
      <c r="BA68" s="91" t="e">
        <f t="shared" si="59"/>
        <v>#VALUE!</v>
      </c>
      <c r="BB68" s="11" t="s">
        <v>232</v>
      </c>
      <c r="BC68" s="91" t="e">
        <f t="shared" si="60"/>
        <v>#VALUE!</v>
      </c>
      <c r="BD68" s="11" t="s">
        <v>232</v>
      </c>
      <c r="BE68" s="91" t="e">
        <f t="shared" si="61"/>
        <v>#VALUE!</v>
      </c>
      <c r="BF68" s="399" t="s">
        <v>232</v>
      </c>
      <c r="BG68" s="399" t="s">
        <v>232</v>
      </c>
      <c r="BH68" s="317" t="s">
        <v>232</v>
      </c>
      <c r="BI68" s="317" t="s">
        <v>232</v>
      </c>
      <c r="BJ68" s="317" t="s">
        <v>232</v>
      </c>
      <c r="BK68" s="317" t="s">
        <v>232</v>
      </c>
      <c r="BL68" s="11" t="s">
        <v>232</v>
      </c>
      <c r="BM68" s="91" t="e">
        <f t="shared" si="62"/>
        <v>#VALUE!</v>
      </c>
      <c r="BN68" s="11" t="s">
        <v>232</v>
      </c>
      <c r="BO68" s="11" t="s">
        <v>232</v>
      </c>
      <c r="BP68" s="11" t="s">
        <v>232</v>
      </c>
      <c r="BQ68" s="11" t="s">
        <v>232</v>
      </c>
      <c r="BR68" s="11" t="s">
        <v>232</v>
      </c>
      <c r="BS68" s="11" t="s">
        <v>232</v>
      </c>
      <c r="BT68" s="11" t="s">
        <v>232</v>
      </c>
      <c r="BU68" s="10">
        <v>45993</v>
      </c>
      <c r="BV68" s="11" t="s">
        <v>232</v>
      </c>
      <c r="BW68" s="10">
        <v>46007</v>
      </c>
      <c r="BX68" s="11" t="s">
        <v>232</v>
      </c>
      <c r="BY68" s="10">
        <v>45992</v>
      </c>
      <c r="BZ68" s="11" t="s">
        <v>232</v>
      </c>
      <c r="CA68" s="10">
        <v>46007</v>
      </c>
      <c r="CB68" s="399" t="s">
        <v>232</v>
      </c>
      <c r="CC68" s="11" t="s">
        <v>232</v>
      </c>
      <c r="CD68" s="11" t="s">
        <v>232</v>
      </c>
      <c r="CE68" s="70" t="s">
        <v>232</v>
      </c>
      <c r="CF68" s="434">
        <v>46015</v>
      </c>
      <c r="CG68" s="70" t="s">
        <v>232</v>
      </c>
      <c r="CH68" s="70" t="s">
        <v>232</v>
      </c>
      <c r="CI68" s="399" t="s">
        <v>232</v>
      </c>
      <c r="CJ68" s="11" t="s">
        <v>232</v>
      </c>
      <c r="CK68" s="317" t="s">
        <v>232</v>
      </c>
      <c r="CL68" s="11" t="s">
        <v>232</v>
      </c>
      <c r="CM68" s="317" t="s">
        <v>232</v>
      </c>
      <c r="CN68" s="11" t="s">
        <v>232</v>
      </c>
      <c r="CO68" s="11" t="s">
        <v>232</v>
      </c>
      <c r="CP68" s="11" t="s">
        <v>232</v>
      </c>
      <c r="CQ68" s="10">
        <v>46002</v>
      </c>
      <c r="CR68" s="10">
        <v>46002</v>
      </c>
      <c r="CS68" s="10">
        <v>46002</v>
      </c>
      <c r="CT68" s="11" t="s">
        <v>232</v>
      </c>
      <c r="CU68" s="11" t="s">
        <v>232</v>
      </c>
      <c r="CV68" s="11" t="s">
        <v>232</v>
      </c>
      <c r="CW68" s="11" t="s">
        <v>232</v>
      </c>
      <c r="CX68" s="10">
        <v>45953</v>
      </c>
      <c r="CY68" s="11"/>
    </row>
    <row r="69" spans="2:103" ht="50.25" customHeight="1">
      <c r="B69" s="462">
        <v>66</v>
      </c>
      <c r="C69" s="465" t="s">
        <v>456</v>
      </c>
      <c r="D69" s="385" t="s">
        <v>457</v>
      </c>
      <c r="E69" s="385" t="s">
        <v>458</v>
      </c>
      <c r="F69" s="385" t="s">
        <v>239</v>
      </c>
      <c r="G69" s="444" t="s">
        <v>459</v>
      </c>
      <c r="H69" s="290">
        <v>45934</v>
      </c>
      <c r="I69" s="91">
        <f t="shared" si="52"/>
        <v>46663</v>
      </c>
      <c r="J69" s="290">
        <v>45935</v>
      </c>
      <c r="K69" s="91">
        <f t="shared" si="63"/>
        <v>46664</v>
      </c>
      <c r="L69" s="290">
        <v>45936</v>
      </c>
      <c r="M69" s="91">
        <f t="shared" si="53"/>
        <v>46665</v>
      </c>
      <c r="N69" s="10">
        <v>45974</v>
      </c>
      <c r="O69" s="325">
        <v>46703</v>
      </c>
      <c r="P69" s="10">
        <v>45974</v>
      </c>
      <c r="Q69" s="325">
        <v>46703</v>
      </c>
      <c r="R69" s="18">
        <v>45966</v>
      </c>
      <c r="S69" s="18">
        <v>46695</v>
      </c>
      <c r="T69" s="392">
        <v>45995</v>
      </c>
      <c r="U69" s="479">
        <f>IF(ISBLANK(T69),"",EDATE(T69,24))-1</f>
        <v>46724</v>
      </c>
      <c r="V69" s="325">
        <v>45978</v>
      </c>
      <c r="W69" s="91">
        <f t="shared" si="64"/>
        <v>46707</v>
      </c>
      <c r="X69" s="17">
        <v>45972</v>
      </c>
      <c r="Y69" s="91">
        <f t="shared" si="65"/>
        <v>46701</v>
      </c>
      <c r="Z69" s="328">
        <v>45989</v>
      </c>
      <c r="AA69" s="91">
        <f t="shared" si="66"/>
        <v>46718</v>
      </c>
      <c r="AB69" s="91">
        <v>45976</v>
      </c>
      <c r="AC69" s="91">
        <f t="shared" si="67"/>
        <v>46705</v>
      </c>
      <c r="AD69" s="91">
        <v>45998</v>
      </c>
      <c r="AE69" s="91">
        <f t="shared" si="68"/>
        <v>46727</v>
      </c>
      <c r="AF69" s="387">
        <v>45933</v>
      </c>
      <c r="AG69" s="91">
        <f t="shared" si="54"/>
        <v>46662</v>
      </c>
      <c r="AH69" s="388">
        <v>45939</v>
      </c>
      <c r="AI69" s="91">
        <f t="shared" si="69"/>
        <v>46668</v>
      </c>
      <c r="AJ69" s="388">
        <v>45940</v>
      </c>
      <c r="AK69" s="91">
        <f t="shared" si="55"/>
        <v>46669</v>
      </c>
      <c r="AL69" s="393">
        <v>45941</v>
      </c>
      <c r="AM69" s="91">
        <f t="shared" si="74"/>
        <v>46671</v>
      </c>
      <c r="AN69" s="393">
        <v>45942</v>
      </c>
      <c r="AO69" s="91">
        <f t="shared" si="71"/>
        <v>46671</v>
      </c>
      <c r="AP69" s="317" t="s">
        <v>232</v>
      </c>
      <c r="AQ69" s="91" t="e">
        <f t="shared" si="56"/>
        <v>#VALUE!</v>
      </c>
      <c r="AR69" s="398" t="s">
        <v>232</v>
      </c>
      <c r="AS69" s="91" t="e">
        <f t="shared" si="72"/>
        <v>#VALUE!</v>
      </c>
      <c r="AT69" s="10"/>
      <c r="AU69" s="91" t="e">
        <f t="shared" si="73"/>
        <v>#VALUE!</v>
      </c>
      <c r="AV69" s="10"/>
      <c r="AW69" s="91" t="e">
        <f t="shared" si="57"/>
        <v>#VALUE!</v>
      </c>
      <c r="AX69" s="10">
        <v>46073</v>
      </c>
      <c r="AY69" s="91">
        <f t="shared" si="58"/>
        <v>46802</v>
      </c>
      <c r="AZ69" s="11" t="s">
        <v>232</v>
      </c>
      <c r="BA69" s="91" t="e">
        <f t="shared" si="59"/>
        <v>#VALUE!</v>
      </c>
      <c r="BB69" s="11" t="s">
        <v>232</v>
      </c>
      <c r="BC69" s="91" t="e">
        <f t="shared" si="60"/>
        <v>#VALUE!</v>
      </c>
      <c r="BD69" s="11" t="s">
        <v>232</v>
      </c>
      <c r="BE69" s="91" t="e">
        <f t="shared" si="61"/>
        <v>#VALUE!</v>
      </c>
      <c r="BF69" s="399" t="s">
        <v>232</v>
      </c>
      <c r="BG69" s="399" t="s">
        <v>232</v>
      </c>
      <c r="BH69" s="317" t="s">
        <v>232</v>
      </c>
      <c r="BI69" s="317" t="s">
        <v>232</v>
      </c>
      <c r="BJ69" s="317" t="s">
        <v>232</v>
      </c>
      <c r="BK69" s="317" t="s">
        <v>232</v>
      </c>
      <c r="BL69" s="10">
        <v>45937</v>
      </c>
      <c r="BM69" s="91">
        <f t="shared" si="62"/>
        <v>46666</v>
      </c>
      <c r="BN69" s="11" t="s">
        <v>232</v>
      </c>
      <c r="BO69" s="11" t="s">
        <v>232</v>
      </c>
      <c r="BP69" s="11" t="s">
        <v>232</v>
      </c>
      <c r="BQ69" s="11" t="s">
        <v>232</v>
      </c>
      <c r="BR69" s="11" t="s">
        <v>232</v>
      </c>
      <c r="BS69" s="11" t="s">
        <v>232</v>
      </c>
      <c r="BT69" s="11" t="s">
        <v>232</v>
      </c>
      <c r="BU69" s="10">
        <v>45993</v>
      </c>
      <c r="BV69" s="11" t="s">
        <v>232</v>
      </c>
      <c r="BW69" s="10">
        <v>46007</v>
      </c>
      <c r="BX69" s="11" t="s">
        <v>232</v>
      </c>
      <c r="BY69" s="10">
        <v>45992</v>
      </c>
      <c r="BZ69" s="11" t="s">
        <v>232</v>
      </c>
      <c r="CA69" s="10">
        <v>46007</v>
      </c>
      <c r="CB69" s="399" t="s">
        <v>232</v>
      </c>
      <c r="CC69" s="11" t="s">
        <v>232</v>
      </c>
      <c r="CD69" s="11" t="s">
        <v>232</v>
      </c>
      <c r="CE69" s="70" t="s">
        <v>232</v>
      </c>
      <c r="CF69" s="434">
        <v>46015</v>
      </c>
      <c r="CG69" s="70" t="s">
        <v>232</v>
      </c>
      <c r="CH69" s="70" t="s">
        <v>232</v>
      </c>
      <c r="CI69" s="90">
        <v>46049</v>
      </c>
      <c r="CJ69" s="11" t="s">
        <v>232</v>
      </c>
      <c r="CK69" s="317" t="s">
        <v>232</v>
      </c>
      <c r="CL69" s="11" t="s">
        <v>232</v>
      </c>
      <c r="CM69" s="317" t="s">
        <v>232</v>
      </c>
      <c r="CN69" s="11" t="s">
        <v>232</v>
      </c>
      <c r="CO69" s="11" t="s">
        <v>232</v>
      </c>
      <c r="CP69" s="11" t="s">
        <v>232</v>
      </c>
      <c r="CQ69" s="10">
        <v>46002</v>
      </c>
      <c r="CR69" s="10">
        <v>46002</v>
      </c>
      <c r="CS69" s="10">
        <v>46002</v>
      </c>
      <c r="CT69" s="11" t="s">
        <v>232</v>
      </c>
      <c r="CU69" s="11">
        <v>46070</v>
      </c>
      <c r="CV69" s="11" t="s">
        <v>232</v>
      </c>
      <c r="CW69" s="11" t="s">
        <v>232</v>
      </c>
      <c r="CX69" s="10">
        <v>45953</v>
      </c>
      <c r="CY69" s="11"/>
    </row>
    <row r="70" spans="2:103" ht="50.25" customHeight="1">
      <c r="B70" s="462">
        <v>67</v>
      </c>
      <c r="C70" s="465" t="s">
        <v>460</v>
      </c>
      <c r="D70" s="385" t="s">
        <v>461</v>
      </c>
      <c r="E70" s="385" t="s">
        <v>462</v>
      </c>
      <c r="F70" s="385" t="s">
        <v>455</v>
      </c>
      <c r="G70" s="444" t="s">
        <v>463</v>
      </c>
      <c r="H70" s="290">
        <v>45934</v>
      </c>
      <c r="I70" s="91">
        <f t="shared" si="52"/>
        <v>46663</v>
      </c>
      <c r="J70" s="290">
        <v>45935</v>
      </c>
      <c r="K70" s="91">
        <f t="shared" si="63"/>
        <v>46664</v>
      </c>
      <c r="L70" s="290">
        <v>45936</v>
      </c>
      <c r="M70" s="91">
        <f t="shared" si="53"/>
        <v>46665</v>
      </c>
      <c r="N70" s="10">
        <v>45974</v>
      </c>
      <c r="O70" s="325">
        <v>46703</v>
      </c>
      <c r="P70" s="10">
        <v>45974</v>
      </c>
      <c r="Q70" s="325">
        <v>46703</v>
      </c>
      <c r="R70" s="18">
        <v>45966</v>
      </c>
      <c r="S70" s="18">
        <v>46695</v>
      </c>
      <c r="T70" s="392" t="s">
        <v>231</v>
      </c>
      <c r="U70" s="399" t="s">
        <v>231</v>
      </c>
      <c r="V70" s="325">
        <v>45978</v>
      </c>
      <c r="W70" s="91">
        <f t="shared" si="64"/>
        <v>46707</v>
      </c>
      <c r="X70" s="17">
        <v>45972</v>
      </c>
      <c r="Y70" s="91">
        <f t="shared" si="65"/>
        <v>46701</v>
      </c>
      <c r="Z70" s="328">
        <v>45989</v>
      </c>
      <c r="AA70" s="91">
        <f t="shared" si="66"/>
        <v>46718</v>
      </c>
      <c r="AB70" s="91">
        <v>45976</v>
      </c>
      <c r="AC70" s="91">
        <f t="shared" si="67"/>
        <v>46705</v>
      </c>
      <c r="AD70" s="91">
        <v>46000</v>
      </c>
      <c r="AE70" s="91">
        <f t="shared" si="68"/>
        <v>46729</v>
      </c>
      <c r="AF70" s="387">
        <v>45933</v>
      </c>
      <c r="AG70" s="91">
        <f t="shared" si="54"/>
        <v>46662</v>
      </c>
      <c r="AH70" s="388">
        <v>45939</v>
      </c>
      <c r="AI70" s="91">
        <f t="shared" si="69"/>
        <v>46668</v>
      </c>
      <c r="AJ70" s="388">
        <v>45940</v>
      </c>
      <c r="AK70" s="91">
        <f t="shared" si="55"/>
        <v>46669</v>
      </c>
      <c r="AL70" s="393">
        <v>45941</v>
      </c>
      <c r="AM70" s="91">
        <f t="shared" si="74"/>
        <v>46671</v>
      </c>
      <c r="AN70" s="393">
        <v>45942</v>
      </c>
      <c r="AO70" s="91">
        <f t="shared" si="71"/>
        <v>46671</v>
      </c>
      <c r="AP70" s="317" t="s">
        <v>232</v>
      </c>
      <c r="AQ70" s="91" t="e">
        <f t="shared" si="56"/>
        <v>#VALUE!</v>
      </c>
      <c r="AR70" s="398" t="s">
        <v>232</v>
      </c>
      <c r="AS70" s="91" t="e">
        <f t="shared" si="72"/>
        <v>#VALUE!</v>
      </c>
      <c r="AT70" s="10"/>
      <c r="AU70" s="91" t="e">
        <f t="shared" si="73"/>
        <v>#VALUE!</v>
      </c>
      <c r="AV70" s="10"/>
      <c r="AW70" s="91" t="e">
        <f t="shared" si="57"/>
        <v>#VALUE!</v>
      </c>
      <c r="AX70" s="11" t="s">
        <v>232</v>
      </c>
      <c r="AY70" s="91" t="e">
        <f t="shared" si="58"/>
        <v>#VALUE!</v>
      </c>
      <c r="AZ70" s="11">
        <v>46066</v>
      </c>
      <c r="BA70" s="91">
        <f t="shared" si="59"/>
        <v>46795</v>
      </c>
      <c r="BB70" s="11" t="s">
        <v>232</v>
      </c>
      <c r="BC70" s="91" t="e">
        <f t="shared" si="60"/>
        <v>#VALUE!</v>
      </c>
      <c r="BD70" s="11" t="s">
        <v>232</v>
      </c>
      <c r="BE70" s="91" t="e">
        <f t="shared" si="61"/>
        <v>#VALUE!</v>
      </c>
      <c r="BF70" s="399" t="s">
        <v>232</v>
      </c>
      <c r="BG70" s="399" t="s">
        <v>232</v>
      </c>
      <c r="BH70" s="317" t="s">
        <v>232</v>
      </c>
      <c r="BI70" s="317" t="s">
        <v>232</v>
      </c>
      <c r="BJ70" s="317">
        <v>46089</v>
      </c>
      <c r="BK70" s="317">
        <f>IF(ISBLANK(BJ70),"",EDATE(BJ70,24))-1</f>
        <v>46819</v>
      </c>
      <c r="BL70" s="11" t="s">
        <v>232</v>
      </c>
      <c r="BM70" s="91" t="e">
        <f t="shared" si="62"/>
        <v>#VALUE!</v>
      </c>
      <c r="BN70" s="11" t="s">
        <v>232</v>
      </c>
      <c r="BO70" s="11" t="s">
        <v>232</v>
      </c>
      <c r="BP70" s="11" t="s">
        <v>232</v>
      </c>
      <c r="BQ70" s="11" t="s">
        <v>232</v>
      </c>
      <c r="BR70" s="11" t="s">
        <v>232</v>
      </c>
      <c r="BS70" s="11" t="s">
        <v>232</v>
      </c>
      <c r="BT70" s="11" t="s">
        <v>232</v>
      </c>
      <c r="BU70" s="10">
        <v>45993</v>
      </c>
      <c r="BV70" s="11" t="s">
        <v>232</v>
      </c>
      <c r="BW70" s="10">
        <v>46007</v>
      </c>
      <c r="BX70" s="11" t="s">
        <v>232</v>
      </c>
      <c r="BY70" s="10">
        <v>45992</v>
      </c>
      <c r="BZ70" s="11" t="s">
        <v>232</v>
      </c>
      <c r="CA70" s="10">
        <v>46007</v>
      </c>
      <c r="CB70" s="399" t="s">
        <v>232</v>
      </c>
      <c r="CC70" s="11" t="s">
        <v>232</v>
      </c>
      <c r="CD70" s="11" t="s">
        <v>232</v>
      </c>
      <c r="CE70" s="70" t="s">
        <v>232</v>
      </c>
      <c r="CF70" s="434">
        <v>46015</v>
      </c>
      <c r="CG70" s="70" t="s">
        <v>232</v>
      </c>
      <c r="CH70" s="70" t="s">
        <v>232</v>
      </c>
      <c r="CI70" s="11" t="s">
        <v>232</v>
      </c>
      <c r="CJ70" s="11" t="s">
        <v>232</v>
      </c>
      <c r="CK70" s="317" t="s">
        <v>232</v>
      </c>
      <c r="CL70" s="11" t="s">
        <v>232</v>
      </c>
      <c r="CM70" s="317" t="s">
        <v>232</v>
      </c>
      <c r="CN70" s="11" t="s">
        <v>232</v>
      </c>
      <c r="CO70" s="11" t="s">
        <v>232</v>
      </c>
      <c r="CP70" s="11" t="s">
        <v>232</v>
      </c>
      <c r="CQ70" s="10">
        <v>46002</v>
      </c>
      <c r="CR70" s="10">
        <v>46002</v>
      </c>
      <c r="CS70" s="10">
        <v>46002</v>
      </c>
      <c r="CT70" s="11" t="s">
        <v>232</v>
      </c>
      <c r="CU70" s="11" t="s">
        <v>232</v>
      </c>
      <c r="CV70" s="11" t="s">
        <v>232</v>
      </c>
      <c r="CW70" s="11" t="s">
        <v>232</v>
      </c>
      <c r="CX70" s="10">
        <v>45953</v>
      </c>
      <c r="CY70" s="11"/>
    </row>
    <row r="71" spans="2:103" ht="57.6" customHeight="1">
      <c r="B71" s="462">
        <v>68</v>
      </c>
      <c r="C71" s="466" t="s">
        <v>464</v>
      </c>
      <c r="D71" s="403" t="s">
        <v>793</v>
      </c>
      <c r="E71" s="403" t="s">
        <v>466</v>
      </c>
      <c r="F71" s="403" t="s">
        <v>467</v>
      </c>
      <c r="G71" s="445" t="s">
        <v>232</v>
      </c>
      <c r="H71" s="404">
        <v>45934</v>
      </c>
      <c r="I71" s="91">
        <f t="shared" si="52"/>
        <v>46663</v>
      </c>
      <c r="J71" s="404">
        <v>45935</v>
      </c>
      <c r="K71" s="91">
        <f t="shared" si="63"/>
        <v>46664</v>
      </c>
      <c r="L71" s="404">
        <v>45936</v>
      </c>
      <c r="M71" s="91">
        <f t="shared" si="53"/>
        <v>46665</v>
      </c>
      <c r="N71" s="10">
        <v>45974</v>
      </c>
      <c r="O71" s="325">
        <v>46703</v>
      </c>
      <c r="P71" s="10">
        <v>45974</v>
      </c>
      <c r="Q71" s="325">
        <v>46703</v>
      </c>
      <c r="R71" s="18">
        <v>45966</v>
      </c>
      <c r="S71" s="405">
        <v>46695</v>
      </c>
      <c r="T71" s="386">
        <v>45995</v>
      </c>
      <c r="U71" s="481">
        <f>IF(ISBLANK(T71),"",EDATE(T71,24))-1</f>
        <v>46724</v>
      </c>
      <c r="V71" s="327">
        <v>45978</v>
      </c>
      <c r="W71" s="91">
        <f t="shared" si="64"/>
        <v>46707</v>
      </c>
      <c r="X71" s="17">
        <v>45972</v>
      </c>
      <c r="Y71" s="91">
        <f t="shared" si="65"/>
        <v>46701</v>
      </c>
      <c r="Z71" s="328">
        <v>45989</v>
      </c>
      <c r="AA71" s="91">
        <f t="shared" si="66"/>
        <v>46718</v>
      </c>
      <c r="AB71" s="91">
        <v>45976</v>
      </c>
      <c r="AC71" s="91">
        <f t="shared" si="67"/>
        <v>46705</v>
      </c>
      <c r="AD71" s="91">
        <v>46000</v>
      </c>
      <c r="AE71" s="91">
        <f t="shared" si="68"/>
        <v>46729</v>
      </c>
      <c r="AF71" s="407">
        <v>45933</v>
      </c>
      <c r="AG71" s="91">
        <f t="shared" si="54"/>
        <v>46662</v>
      </c>
      <c r="AH71" s="395">
        <v>45939</v>
      </c>
      <c r="AI71" s="91">
        <f t="shared" si="69"/>
        <v>46668</v>
      </c>
      <c r="AJ71" s="395">
        <v>45940</v>
      </c>
      <c r="AK71" s="91">
        <f t="shared" si="55"/>
        <v>46669</v>
      </c>
      <c r="AL71" s="408">
        <v>45941</v>
      </c>
      <c r="AM71" s="91">
        <f t="shared" si="74"/>
        <v>46671</v>
      </c>
      <c r="AN71" s="408">
        <v>45942</v>
      </c>
      <c r="AO71" s="91">
        <f t="shared" si="71"/>
        <v>46671</v>
      </c>
      <c r="AP71" s="409" t="s">
        <v>232</v>
      </c>
      <c r="AQ71" s="91" t="e">
        <f t="shared" si="56"/>
        <v>#VALUE!</v>
      </c>
      <c r="AR71" s="410" t="s">
        <v>232</v>
      </c>
      <c r="AS71" s="91" t="e">
        <f t="shared" si="72"/>
        <v>#VALUE!</v>
      </c>
      <c r="AT71" s="10"/>
      <c r="AU71" s="91" t="e">
        <f t="shared" si="73"/>
        <v>#VALUE!</v>
      </c>
      <c r="AV71" s="10"/>
      <c r="AW71" s="91" t="e">
        <f t="shared" si="57"/>
        <v>#VALUE!</v>
      </c>
      <c r="AX71" s="39" t="s">
        <v>232</v>
      </c>
      <c r="AY71" s="91" t="e">
        <f t="shared" si="58"/>
        <v>#VALUE!</v>
      </c>
      <c r="AZ71" s="39" t="s">
        <v>232</v>
      </c>
      <c r="BA71" s="91" t="e">
        <f t="shared" si="59"/>
        <v>#VALUE!</v>
      </c>
      <c r="BB71" s="39" t="s">
        <v>232</v>
      </c>
      <c r="BC71" s="91" t="e">
        <f t="shared" si="60"/>
        <v>#VALUE!</v>
      </c>
      <c r="BD71" s="39" t="s">
        <v>232</v>
      </c>
      <c r="BE71" s="91" t="e">
        <f t="shared" si="61"/>
        <v>#VALUE!</v>
      </c>
      <c r="BF71" s="401" t="s">
        <v>232</v>
      </c>
      <c r="BG71" s="401" t="s">
        <v>232</v>
      </c>
      <c r="BH71" s="409" t="s">
        <v>232</v>
      </c>
      <c r="BI71" s="409" t="s">
        <v>232</v>
      </c>
      <c r="BJ71" s="409" t="s">
        <v>232</v>
      </c>
      <c r="BK71" s="409"/>
      <c r="BL71" s="11">
        <v>46072</v>
      </c>
      <c r="BM71" s="91">
        <f t="shared" si="62"/>
        <v>46801</v>
      </c>
      <c r="BN71" s="39" t="s">
        <v>232</v>
      </c>
      <c r="BO71" s="39" t="s">
        <v>232</v>
      </c>
      <c r="BP71" s="39" t="s">
        <v>232</v>
      </c>
      <c r="BQ71" s="39" t="s">
        <v>232</v>
      </c>
      <c r="BR71" s="39" t="s">
        <v>232</v>
      </c>
      <c r="BS71" s="39" t="s">
        <v>232</v>
      </c>
      <c r="BT71" s="39" t="s">
        <v>232</v>
      </c>
      <c r="BU71" s="10">
        <v>45993</v>
      </c>
      <c r="BV71" s="39" t="s">
        <v>232</v>
      </c>
      <c r="BW71" s="10">
        <v>46007</v>
      </c>
      <c r="BX71" s="39" t="s">
        <v>232</v>
      </c>
      <c r="BY71" s="10">
        <v>45992</v>
      </c>
      <c r="BZ71" s="39" t="s">
        <v>232</v>
      </c>
      <c r="CA71" s="10">
        <v>46007</v>
      </c>
      <c r="CB71" s="401" t="s">
        <v>232</v>
      </c>
      <c r="CC71" s="39" t="s">
        <v>232</v>
      </c>
      <c r="CD71" s="39" t="s">
        <v>232</v>
      </c>
      <c r="CE71" s="70" t="s">
        <v>232</v>
      </c>
      <c r="CF71" s="434">
        <v>46015</v>
      </c>
      <c r="CG71" s="70" t="s">
        <v>232</v>
      </c>
      <c r="CH71" s="70" t="s">
        <v>232</v>
      </c>
      <c r="CI71" s="39" t="s">
        <v>232</v>
      </c>
      <c r="CJ71" s="39" t="s">
        <v>232</v>
      </c>
      <c r="CK71" s="409" t="s">
        <v>232</v>
      </c>
      <c r="CL71" s="11" t="s">
        <v>232</v>
      </c>
      <c r="CM71" s="409" t="s">
        <v>232</v>
      </c>
      <c r="CN71" s="39" t="s">
        <v>232</v>
      </c>
      <c r="CO71" s="39" t="s">
        <v>232</v>
      </c>
      <c r="CP71" s="39" t="s">
        <v>232</v>
      </c>
      <c r="CQ71" s="10">
        <v>46002</v>
      </c>
      <c r="CR71" s="10">
        <v>46002</v>
      </c>
      <c r="CS71" s="10">
        <v>46002</v>
      </c>
      <c r="CT71" s="39" t="s">
        <v>232</v>
      </c>
      <c r="CU71" s="39" t="s">
        <v>232</v>
      </c>
      <c r="CV71" s="39" t="s">
        <v>232</v>
      </c>
      <c r="CW71" s="39" t="s">
        <v>232</v>
      </c>
      <c r="CX71" s="39"/>
      <c r="CY71" s="11"/>
    </row>
    <row r="72" spans="2:103" ht="50.25" customHeight="1">
      <c r="B72" s="462">
        <v>69</v>
      </c>
      <c r="C72" s="465" t="s">
        <v>468</v>
      </c>
      <c r="D72" s="385" t="s">
        <v>469</v>
      </c>
      <c r="E72" s="385" t="s">
        <v>470</v>
      </c>
      <c r="F72" s="385" t="s">
        <v>455</v>
      </c>
      <c r="G72" s="445" t="s">
        <v>471</v>
      </c>
      <c r="H72" s="290">
        <v>45934</v>
      </c>
      <c r="I72" s="91">
        <f t="shared" si="52"/>
        <v>46663</v>
      </c>
      <c r="J72" s="290">
        <v>45935</v>
      </c>
      <c r="K72" s="91">
        <f t="shared" si="63"/>
        <v>46664</v>
      </c>
      <c r="L72" s="290">
        <v>45936</v>
      </c>
      <c r="M72" s="91">
        <f t="shared" si="53"/>
        <v>46665</v>
      </c>
      <c r="N72" s="10">
        <v>45974</v>
      </c>
      <c r="O72" s="325">
        <v>46703</v>
      </c>
      <c r="P72" s="10">
        <v>45974</v>
      </c>
      <c r="Q72" s="325">
        <v>46703</v>
      </c>
      <c r="R72" s="18">
        <v>45966</v>
      </c>
      <c r="S72" s="18">
        <v>46695</v>
      </c>
      <c r="T72" s="18" t="s">
        <v>231</v>
      </c>
      <c r="U72" s="399" t="s">
        <v>231</v>
      </c>
      <c r="V72" s="325">
        <v>45978</v>
      </c>
      <c r="W72" s="91">
        <f t="shared" si="64"/>
        <v>46707</v>
      </c>
      <c r="X72" s="17">
        <v>45972</v>
      </c>
      <c r="Y72" s="91">
        <f t="shared" si="65"/>
        <v>46701</v>
      </c>
      <c r="Z72" s="328">
        <v>45989</v>
      </c>
      <c r="AA72" s="482">
        <f t="shared" si="66"/>
        <v>46718</v>
      </c>
      <c r="AB72" s="91">
        <v>45976</v>
      </c>
      <c r="AC72" s="91">
        <f t="shared" si="67"/>
        <v>46705</v>
      </c>
      <c r="AD72" s="91">
        <v>46000</v>
      </c>
      <c r="AE72" s="91">
        <f t="shared" si="68"/>
        <v>46729</v>
      </c>
      <c r="AF72" s="407">
        <v>45933</v>
      </c>
      <c r="AG72" s="91">
        <f t="shared" si="54"/>
        <v>46662</v>
      </c>
      <c r="AH72" s="395">
        <v>45939</v>
      </c>
      <c r="AI72" s="91">
        <f t="shared" si="69"/>
        <v>46668</v>
      </c>
      <c r="AJ72" s="395">
        <v>45940</v>
      </c>
      <c r="AK72" s="91">
        <f t="shared" si="55"/>
        <v>46669</v>
      </c>
      <c r="AL72" s="408">
        <v>45941</v>
      </c>
      <c r="AM72" s="91">
        <f t="shared" si="74"/>
        <v>46671</v>
      </c>
      <c r="AN72" s="408">
        <v>45942</v>
      </c>
      <c r="AO72" s="91">
        <f t="shared" si="71"/>
        <v>46671</v>
      </c>
      <c r="AP72" s="409" t="s">
        <v>232</v>
      </c>
      <c r="AQ72" s="91" t="e">
        <f t="shared" si="56"/>
        <v>#VALUE!</v>
      </c>
      <c r="AR72" s="398" t="s">
        <v>232</v>
      </c>
      <c r="AS72" s="91" t="e">
        <f t="shared" si="72"/>
        <v>#VALUE!</v>
      </c>
      <c r="AT72" s="10"/>
      <c r="AU72" s="91" t="e">
        <f t="shared" si="73"/>
        <v>#VALUE!</v>
      </c>
      <c r="AV72" s="10"/>
      <c r="AW72" s="91" t="e">
        <f t="shared" si="57"/>
        <v>#VALUE!</v>
      </c>
      <c r="AX72" s="11" t="s">
        <v>232</v>
      </c>
      <c r="AY72" s="91" t="e">
        <f t="shared" si="58"/>
        <v>#VALUE!</v>
      </c>
      <c r="AZ72" s="11">
        <v>46066</v>
      </c>
      <c r="BA72" s="91">
        <f t="shared" si="59"/>
        <v>46795</v>
      </c>
      <c r="BB72" s="11" t="s">
        <v>232</v>
      </c>
      <c r="BC72" s="91" t="e">
        <f t="shared" si="60"/>
        <v>#VALUE!</v>
      </c>
      <c r="BD72" s="11" t="s">
        <v>232</v>
      </c>
      <c r="BE72" s="91" t="e">
        <f t="shared" si="61"/>
        <v>#VALUE!</v>
      </c>
      <c r="BF72" s="401" t="s">
        <v>232</v>
      </c>
      <c r="BG72" s="401" t="s">
        <v>232</v>
      </c>
      <c r="BH72" s="409" t="s">
        <v>232</v>
      </c>
      <c r="BI72" s="409" t="s">
        <v>232</v>
      </c>
      <c r="BJ72" s="409" t="s">
        <v>232</v>
      </c>
      <c r="BK72" s="409" t="s">
        <v>232</v>
      </c>
      <c r="BL72" s="11">
        <v>45937</v>
      </c>
      <c r="BM72" s="91">
        <f t="shared" si="62"/>
        <v>46666</v>
      </c>
      <c r="BN72" s="11" t="s">
        <v>232</v>
      </c>
      <c r="BO72" s="11" t="s">
        <v>232</v>
      </c>
      <c r="BP72" s="11" t="s">
        <v>232</v>
      </c>
      <c r="BQ72" s="11" t="s">
        <v>232</v>
      </c>
      <c r="BR72" s="11" t="s">
        <v>232</v>
      </c>
      <c r="BS72" s="11" t="s">
        <v>232</v>
      </c>
      <c r="BT72" s="11" t="s">
        <v>232</v>
      </c>
      <c r="BU72" s="10">
        <v>45993</v>
      </c>
      <c r="BV72" s="11" t="s">
        <v>232</v>
      </c>
      <c r="BW72" s="10">
        <v>46007</v>
      </c>
      <c r="BX72" s="11" t="s">
        <v>232</v>
      </c>
      <c r="BY72" s="10">
        <v>45992</v>
      </c>
      <c r="BZ72" s="11" t="s">
        <v>232</v>
      </c>
      <c r="CA72" s="10">
        <v>46007</v>
      </c>
      <c r="CB72" s="401" t="s">
        <v>232</v>
      </c>
      <c r="CC72" s="11" t="s">
        <v>232</v>
      </c>
      <c r="CD72" s="11" t="s">
        <v>232</v>
      </c>
      <c r="CE72" s="70" t="s">
        <v>232</v>
      </c>
      <c r="CF72" s="434">
        <v>46015</v>
      </c>
      <c r="CG72" s="70" t="s">
        <v>232</v>
      </c>
      <c r="CH72" s="425" t="s">
        <v>232</v>
      </c>
      <c r="CI72" s="11" t="s">
        <v>232</v>
      </c>
      <c r="CJ72" s="11" t="s">
        <v>232</v>
      </c>
      <c r="CK72" s="409" t="s">
        <v>232</v>
      </c>
      <c r="CL72" s="11" t="s">
        <v>232</v>
      </c>
      <c r="CM72" s="317" t="s">
        <v>232</v>
      </c>
      <c r="CN72" s="11" t="s">
        <v>232</v>
      </c>
      <c r="CO72" s="11" t="s">
        <v>232</v>
      </c>
      <c r="CP72" s="11" t="s">
        <v>232</v>
      </c>
      <c r="CQ72" s="10">
        <v>46002</v>
      </c>
      <c r="CR72" s="10">
        <v>46002</v>
      </c>
      <c r="CS72" s="10">
        <v>46002</v>
      </c>
      <c r="CT72" s="11" t="s">
        <v>232</v>
      </c>
      <c r="CU72" s="11" t="s">
        <v>232</v>
      </c>
      <c r="CV72" s="11" t="s">
        <v>232</v>
      </c>
      <c r="CW72" s="11" t="s">
        <v>232</v>
      </c>
      <c r="CX72" s="10">
        <v>45953</v>
      </c>
      <c r="CY72" s="11"/>
    </row>
    <row r="73" spans="2:103" ht="50.25" customHeight="1">
      <c r="B73" s="462">
        <v>70</v>
      </c>
      <c r="C73" s="465" t="s">
        <v>472</v>
      </c>
      <c r="D73" s="385" t="s">
        <v>473</v>
      </c>
      <c r="E73" s="385" t="s">
        <v>474</v>
      </c>
      <c r="F73" s="403" t="s">
        <v>455</v>
      </c>
      <c r="G73" s="444"/>
      <c r="H73" s="290">
        <v>45934</v>
      </c>
      <c r="I73" s="91">
        <f t="shared" si="52"/>
        <v>46663</v>
      </c>
      <c r="J73" s="290">
        <v>45935</v>
      </c>
      <c r="K73" s="91">
        <f t="shared" si="63"/>
        <v>46664</v>
      </c>
      <c r="L73" s="290">
        <v>45936</v>
      </c>
      <c r="M73" s="91">
        <f t="shared" si="53"/>
        <v>46665</v>
      </c>
      <c r="N73" s="10">
        <v>45974</v>
      </c>
      <c r="O73" s="325">
        <v>46703</v>
      </c>
      <c r="P73" s="10">
        <v>45974</v>
      </c>
      <c r="Q73" s="325">
        <v>46703</v>
      </c>
      <c r="R73" s="18">
        <v>45966</v>
      </c>
      <c r="S73" s="18">
        <v>46695</v>
      </c>
      <c r="T73" s="386">
        <v>45995</v>
      </c>
      <c r="U73" s="481">
        <f>IF(ISBLANK(T73),"",EDATE(T73,24))-1</f>
        <v>46724</v>
      </c>
      <c r="V73" s="325">
        <v>45978</v>
      </c>
      <c r="W73" s="91">
        <f t="shared" si="64"/>
        <v>46707</v>
      </c>
      <c r="X73" s="17">
        <v>45972</v>
      </c>
      <c r="Y73" s="91">
        <f t="shared" si="65"/>
        <v>46701</v>
      </c>
      <c r="Z73" s="328">
        <v>45989</v>
      </c>
      <c r="AA73" s="328">
        <v>46718</v>
      </c>
      <c r="AB73" s="91">
        <v>45976</v>
      </c>
      <c r="AC73" s="91">
        <f t="shared" si="67"/>
        <v>46705</v>
      </c>
      <c r="AD73" s="91">
        <v>46000</v>
      </c>
      <c r="AE73" s="91">
        <f t="shared" si="68"/>
        <v>46729</v>
      </c>
      <c r="AF73" s="407">
        <v>45933</v>
      </c>
      <c r="AG73" s="91">
        <f t="shared" si="54"/>
        <v>46662</v>
      </c>
      <c r="AH73" s="395">
        <v>45939</v>
      </c>
      <c r="AI73" s="91">
        <f t="shared" si="69"/>
        <v>46668</v>
      </c>
      <c r="AJ73" s="395">
        <v>45940</v>
      </c>
      <c r="AK73" s="91">
        <f t="shared" si="55"/>
        <v>46669</v>
      </c>
      <c r="AL73" s="408">
        <v>45941</v>
      </c>
      <c r="AM73" s="91">
        <f t="shared" si="74"/>
        <v>46671</v>
      </c>
      <c r="AN73" s="408">
        <v>45942</v>
      </c>
      <c r="AO73" s="91">
        <f t="shared" si="71"/>
        <v>46671</v>
      </c>
      <c r="AP73" s="317"/>
      <c r="AQ73" s="91" t="e">
        <f t="shared" si="56"/>
        <v>#VALUE!</v>
      </c>
      <c r="AR73" s="398"/>
      <c r="AS73" s="91" t="e">
        <f t="shared" si="72"/>
        <v>#VALUE!</v>
      </c>
      <c r="AT73" s="10"/>
      <c r="AU73" s="91" t="e">
        <f t="shared" si="73"/>
        <v>#VALUE!</v>
      </c>
      <c r="AV73" s="10"/>
      <c r="AW73" s="91" t="e">
        <f t="shared" si="57"/>
        <v>#VALUE!</v>
      </c>
      <c r="AX73" s="11"/>
      <c r="AY73" s="91" t="e">
        <f t="shared" si="58"/>
        <v>#VALUE!</v>
      </c>
      <c r="AZ73" s="11"/>
      <c r="BA73" s="91" t="e">
        <f t="shared" si="59"/>
        <v>#VALUE!</v>
      </c>
      <c r="BB73" s="11"/>
      <c r="BC73" s="91" t="e">
        <f t="shared" si="60"/>
        <v>#VALUE!</v>
      </c>
      <c r="BD73" s="11"/>
      <c r="BE73" s="91" t="e">
        <f t="shared" si="61"/>
        <v>#VALUE!</v>
      </c>
      <c r="BF73" s="399"/>
      <c r="BG73" s="399"/>
      <c r="BH73" s="317"/>
      <c r="BI73" s="317"/>
      <c r="BJ73" s="317"/>
      <c r="BK73" s="317"/>
      <c r="BL73" s="11"/>
      <c r="BM73" s="91" t="e">
        <f t="shared" si="62"/>
        <v>#VALUE!</v>
      </c>
      <c r="BN73" s="11"/>
      <c r="BO73" s="11"/>
      <c r="BP73" s="11"/>
      <c r="BQ73" s="11"/>
      <c r="BR73" s="11"/>
      <c r="BS73" s="11"/>
      <c r="BT73" s="11"/>
      <c r="BU73" s="10">
        <v>45993</v>
      </c>
      <c r="BV73" s="11"/>
      <c r="BW73" s="10">
        <v>46007</v>
      </c>
      <c r="BX73" s="11"/>
      <c r="BY73" s="10">
        <v>45992</v>
      </c>
      <c r="BZ73" s="11"/>
      <c r="CA73" s="10">
        <v>46007</v>
      </c>
      <c r="CB73" s="399"/>
      <c r="CC73" s="11"/>
      <c r="CD73" s="11"/>
      <c r="CE73" s="314"/>
      <c r="CF73" s="434">
        <v>46015</v>
      </c>
      <c r="CG73" s="314"/>
      <c r="CH73" s="493"/>
      <c r="CI73" s="11"/>
      <c r="CJ73" s="11"/>
      <c r="CK73" s="317"/>
      <c r="CL73" s="11" t="s">
        <v>232</v>
      </c>
      <c r="CM73" s="317"/>
      <c r="CN73" s="11"/>
      <c r="CO73" s="11"/>
      <c r="CP73" s="11"/>
      <c r="CQ73" s="10">
        <v>46002</v>
      </c>
      <c r="CR73" s="10">
        <v>46002</v>
      </c>
      <c r="CS73" s="10">
        <v>46002</v>
      </c>
      <c r="CT73" s="11"/>
      <c r="CU73" s="11"/>
      <c r="CV73" s="11"/>
      <c r="CW73" s="11"/>
      <c r="CX73" s="38"/>
      <c r="CY73" s="11"/>
    </row>
    <row r="74" spans="2:103" ht="50.25" customHeight="1">
      <c r="B74" s="462">
        <v>71</v>
      </c>
      <c r="C74" s="465" t="s">
        <v>475</v>
      </c>
      <c r="D74" s="385" t="s">
        <v>476</v>
      </c>
      <c r="E74" s="385" t="s">
        <v>477</v>
      </c>
      <c r="F74" s="403" t="s">
        <v>455</v>
      </c>
      <c r="G74" s="444"/>
      <c r="H74" s="290">
        <v>45934</v>
      </c>
      <c r="I74" s="91">
        <f t="shared" si="52"/>
        <v>46663</v>
      </c>
      <c r="J74" s="290">
        <v>45935</v>
      </c>
      <c r="K74" s="91">
        <f t="shared" si="63"/>
        <v>46664</v>
      </c>
      <c r="L74" s="290">
        <v>45936</v>
      </c>
      <c r="M74" s="91">
        <f t="shared" si="53"/>
        <v>46665</v>
      </c>
      <c r="N74" s="10">
        <v>45974</v>
      </c>
      <c r="O74" s="325">
        <v>46703</v>
      </c>
      <c r="P74" s="10">
        <v>45974</v>
      </c>
      <c r="Q74" s="325">
        <v>46703</v>
      </c>
      <c r="R74" s="18">
        <v>45966</v>
      </c>
      <c r="S74" s="18">
        <v>46695</v>
      </c>
      <c r="T74" s="18" t="s">
        <v>231</v>
      </c>
      <c r="U74" s="399" t="s">
        <v>231</v>
      </c>
      <c r="V74" s="325">
        <v>45978</v>
      </c>
      <c r="W74" s="91">
        <f t="shared" si="64"/>
        <v>46707</v>
      </c>
      <c r="X74" s="17">
        <v>45972</v>
      </c>
      <c r="Y74" s="91">
        <f t="shared" si="65"/>
        <v>46701</v>
      </c>
      <c r="Z74" s="328">
        <v>45989</v>
      </c>
      <c r="AA74" s="328">
        <v>46718</v>
      </c>
      <c r="AB74" s="91">
        <v>45976</v>
      </c>
      <c r="AC74" s="91">
        <f t="shared" si="67"/>
        <v>46705</v>
      </c>
      <c r="AD74" s="91">
        <v>46000</v>
      </c>
      <c r="AE74" s="91">
        <f t="shared" si="68"/>
        <v>46729</v>
      </c>
      <c r="AF74" s="407">
        <v>45933</v>
      </c>
      <c r="AG74" s="91">
        <f t="shared" si="54"/>
        <v>46662</v>
      </c>
      <c r="AH74" s="395">
        <v>45939</v>
      </c>
      <c r="AI74" s="91">
        <f t="shared" si="69"/>
        <v>46668</v>
      </c>
      <c r="AJ74" s="395">
        <v>45940</v>
      </c>
      <c r="AK74" s="91">
        <f t="shared" si="55"/>
        <v>46669</v>
      </c>
      <c r="AL74" s="408">
        <v>45941</v>
      </c>
      <c r="AM74" s="91">
        <f t="shared" si="74"/>
        <v>46671</v>
      </c>
      <c r="AN74" s="408">
        <v>45942</v>
      </c>
      <c r="AO74" s="91">
        <f t="shared" si="71"/>
        <v>46671</v>
      </c>
      <c r="AP74" s="317"/>
      <c r="AQ74" s="91" t="e">
        <f t="shared" si="56"/>
        <v>#VALUE!</v>
      </c>
      <c r="AR74" s="398"/>
      <c r="AS74" s="91" t="e">
        <f t="shared" si="72"/>
        <v>#VALUE!</v>
      </c>
      <c r="AT74" s="10"/>
      <c r="AU74" s="91" t="e">
        <f t="shared" si="73"/>
        <v>#VALUE!</v>
      </c>
      <c r="AV74" s="10"/>
      <c r="AW74" s="91" t="e">
        <f t="shared" si="57"/>
        <v>#VALUE!</v>
      </c>
      <c r="AX74" s="11"/>
      <c r="AY74" s="91" t="e">
        <f t="shared" si="58"/>
        <v>#VALUE!</v>
      </c>
      <c r="AZ74" s="11">
        <v>46066</v>
      </c>
      <c r="BA74" s="91">
        <f t="shared" si="59"/>
        <v>46795</v>
      </c>
      <c r="BB74" s="11"/>
      <c r="BC74" s="91" t="e">
        <f t="shared" si="60"/>
        <v>#VALUE!</v>
      </c>
      <c r="BD74" s="11"/>
      <c r="BE74" s="91" t="e">
        <f t="shared" si="61"/>
        <v>#VALUE!</v>
      </c>
      <c r="BF74" s="399"/>
      <c r="BG74" s="399"/>
      <c r="BH74" s="317"/>
      <c r="BI74" s="317"/>
      <c r="BJ74" s="317"/>
      <c r="BK74" s="317"/>
      <c r="BL74" s="11"/>
      <c r="BM74" s="91" t="e">
        <f t="shared" si="62"/>
        <v>#VALUE!</v>
      </c>
      <c r="BN74" s="11"/>
      <c r="BO74" s="11"/>
      <c r="BP74" s="11"/>
      <c r="BQ74" s="11"/>
      <c r="BR74" s="11"/>
      <c r="BS74" s="11"/>
      <c r="BT74" s="11"/>
      <c r="BU74" s="10">
        <v>45993</v>
      </c>
      <c r="BV74" s="11"/>
      <c r="BW74" s="10">
        <v>46007</v>
      </c>
      <c r="BX74" s="11"/>
      <c r="BY74" s="10">
        <v>45992</v>
      </c>
      <c r="BZ74" s="11"/>
      <c r="CA74" s="10">
        <v>46007</v>
      </c>
      <c r="CB74" s="399"/>
      <c r="CC74" s="11"/>
      <c r="CD74" s="11"/>
      <c r="CE74" s="70" t="s">
        <v>232</v>
      </c>
      <c r="CF74" s="434">
        <v>46015</v>
      </c>
      <c r="CG74" s="70" t="s">
        <v>232</v>
      </c>
      <c r="CH74" s="70" t="s">
        <v>232</v>
      </c>
      <c r="CI74" s="11"/>
      <c r="CJ74" s="11"/>
      <c r="CK74" s="317"/>
      <c r="CL74" s="11" t="s">
        <v>232</v>
      </c>
      <c r="CM74" s="317"/>
      <c r="CN74" s="11"/>
      <c r="CO74" s="11"/>
      <c r="CP74" s="11"/>
      <c r="CQ74" s="10">
        <v>46002</v>
      </c>
      <c r="CR74" s="10">
        <v>46002</v>
      </c>
      <c r="CS74" s="10">
        <v>46002</v>
      </c>
      <c r="CT74" s="11"/>
      <c r="CU74" s="11"/>
      <c r="CV74" s="11"/>
      <c r="CW74" s="11"/>
      <c r="CX74" s="10">
        <v>45953</v>
      </c>
      <c r="CY74" s="11"/>
    </row>
    <row r="75" spans="2:103" ht="50.25" customHeight="1">
      <c r="B75" s="462">
        <v>72</v>
      </c>
      <c r="C75" s="465" t="s">
        <v>478</v>
      </c>
      <c r="D75" s="385" t="s">
        <v>479</v>
      </c>
      <c r="E75" s="385" t="s">
        <v>480</v>
      </c>
      <c r="F75" s="403" t="s">
        <v>455</v>
      </c>
      <c r="G75" s="444"/>
      <c r="H75" s="290">
        <v>45934</v>
      </c>
      <c r="I75" s="91">
        <f t="shared" si="52"/>
        <v>46663</v>
      </c>
      <c r="J75" s="290">
        <v>45935</v>
      </c>
      <c r="K75" s="91">
        <f t="shared" si="63"/>
        <v>46664</v>
      </c>
      <c r="L75" s="290">
        <v>45936</v>
      </c>
      <c r="M75" s="91">
        <f t="shared" si="53"/>
        <v>46665</v>
      </c>
      <c r="N75" s="10">
        <v>45974</v>
      </c>
      <c r="O75" s="325">
        <v>46703</v>
      </c>
      <c r="P75" s="10">
        <v>45974</v>
      </c>
      <c r="Q75" s="325">
        <v>46703</v>
      </c>
      <c r="R75" s="18">
        <v>45966</v>
      </c>
      <c r="S75" s="18">
        <v>46695</v>
      </c>
      <c r="T75" s="18">
        <v>45995</v>
      </c>
      <c r="U75" s="91">
        <f>IF(ISBLANK(T75),"",EDATE(T75,24))-1</f>
        <v>46724</v>
      </c>
      <c r="V75" s="325">
        <v>45978</v>
      </c>
      <c r="W75" s="91">
        <f t="shared" si="64"/>
        <v>46707</v>
      </c>
      <c r="X75" s="17">
        <v>45972</v>
      </c>
      <c r="Y75" s="91">
        <f t="shared" si="65"/>
        <v>46701</v>
      </c>
      <c r="Z75" s="328">
        <v>45989</v>
      </c>
      <c r="AA75" s="328">
        <v>46718</v>
      </c>
      <c r="AB75" s="91">
        <v>45976</v>
      </c>
      <c r="AC75" s="91">
        <f t="shared" si="67"/>
        <v>46705</v>
      </c>
      <c r="AD75" s="91">
        <v>46000</v>
      </c>
      <c r="AE75" s="91">
        <f t="shared" si="68"/>
        <v>46729</v>
      </c>
      <c r="AF75" s="407">
        <v>45933</v>
      </c>
      <c r="AG75" s="91">
        <f t="shared" si="54"/>
        <v>46662</v>
      </c>
      <c r="AH75" s="395">
        <v>45939</v>
      </c>
      <c r="AI75" s="91">
        <f t="shared" si="69"/>
        <v>46668</v>
      </c>
      <c r="AJ75" s="395">
        <v>45940</v>
      </c>
      <c r="AK75" s="91">
        <f t="shared" si="55"/>
        <v>46669</v>
      </c>
      <c r="AL75" s="408">
        <v>45941</v>
      </c>
      <c r="AM75" s="91">
        <f t="shared" si="74"/>
        <v>46671</v>
      </c>
      <c r="AN75" s="408">
        <v>45942</v>
      </c>
      <c r="AO75" s="91">
        <f t="shared" si="71"/>
        <v>46671</v>
      </c>
      <c r="AP75" s="317"/>
      <c r="AQ75" s="91" t="e">
        <f t="shared" si="56"/>
        <v>#VALUE!</v>
      </c>
      <c r="AR75" s="398"/>
      <c r="AS75" s="91" t="e">
        <f t="shared" si="72"/>
        <v>#VALUE!</v>
      </c>
      <c r="AT75" s="10"/>
      <c r="AU75" s="91" t="e">
        <f t="shared" si="73"/>
        <v>#VALUE!</v>
      </c>
      <c r="AV75" s="10"/>
      <c r="AW75" s="91" t="e">
        <f t="shared" si="57"/>
        <v>#VALUE!</v>
      </c>
      <c r="AX75" s="11"/>
      <c r="AY75" s="91" t="e">
        <f t="shared" si="58"/>
        <v>#VALUE!</v>
      </c>
      <c r="AZ75" s="11"/>
      <c r="BA75" s="91" t="e">
        <f t="shared" si="59"/>
        <v>#VALUE!</v>
      </c>
      <c r="BB75" s="11"/>
      <c r="BC75" s="91" t="e">
        <f t="shared" si="60"/>
        <v>#VALUE!</v>
      </c>
      <c r="BD75" s="11"/>
      <c r="BE75" s="91" t="e">
        <f t="shared" si="61"/>
        <v>#VALUE!</v>
      </c>
      <c r="BF75" s="399"/>
      <c r="BG75" s="399"/>
      <c r="BH75" s="317"/>
      <c r="BI75" s="317"/>
      <c r="BJ75" s="317"/>
      <c r="BK75" s="317"/>
      <c r="BL75" s="11"/>
      <c r="BM75" s="91" t="e">
        <f t="shared" si="62"/>
        <v>#VALUE!</v>
      </c>
      <c r="BN75" s="11"/>
      <c r="BO75" s="11"/>
      <c r="BP75" s="11"/>
      <c r="BQ75" s="11"/>
      <c r="BR75" s="11"/>
      <c r="BS75" s="11"/>
      <c r="BT75" s="11"/>
      <c r="BU75" s="10">
        <v>45993</v>
      </c>
      <c r="BV75" s="11"/>
      <c r="BW75" s="10">
        <v>46007</v>
      </c>
      <c r="BX75" s="11"/>
      <c r="BY75" s="10">
        <v>45992</v>
      </c>
      <c r="BZ75" s="11"/>
      <c r="CA75" s="10">
        <v>46007</v>
      </c>
      <c r="CB75" s="399"/>
      <c r="CC75" s="11"/>
      <c r="CD75" s="11"/>
      <c r="CE75" s="70" t="s">
        <v>232</v>
      </c>
      <c r="CF75" s="434">
        <v>46015</v>
      </c>
      <c r="CG75" s="70" t="s">
        <v>232</v>
      </c>
      <c r="CH75" s="70" t="s">
        <v>232</v>
      </c>
      <c r="CI75" s="11"/>
      <c r="CJ75" s="11"/>
      <c r="CK75" s="317"/>
      <c r="CL75" s="11" t="s">
        <v>232</v>
      </c>
      <c r="CM75" s="317"/>
      <c r="CN75" s="11"/>
      <c r="CO75" s="11"/>
      <c r="CP75" s="11"/>
      <c r="CQ75" s="10">
        <v>46002</v>
      </c>
      <c r="CR75" s="10">
        <v>46002</v>
      </c>
      <c r="CS75" s="10">
        <v>46002</v>
      </c>
      <c r="CT75" s="11"/>
      <c r="CU75" s="11"/>
      <c r="CV75" s="11"/>
      <c r="CW75" s="11"/>
      <c r="CX75" s="10"/>
      <c r="CY75" s="11"/>
    </row>
    <row r="76" spans="2:103" ht="50.25" customHeight="1">
      <c r="B76" s="462">
        <v>73</v>
      </c>
      <c r="C76" s="465" t="s">
        <v>481</v>
      </c>
      <c r="D76" s="385" t="s">
        <v>482</v>
      </c>
      <c r="E76" s="385" t="s">
        <v>483</v>
      </c>
      <c r="F76" s="385" t="s">
        <v>455</v>
      </c>
      <c r="G76" s="444"/>
      <c r="H76" s="290">
        <v>45934</v>
      </c>
      <c r="I76" s="90">
        <f t="shared" si="52"/>
        <v>46663</v>
      </c>
      <c r="J76" s="290">
        <v>45935</v>
      </c>
      <c r="K76" s="90">
        <f t="shared" si="63"/>
        <v>46664</v>
      </c>
      <c r="L76" s="290">
        <v>45936</v>
      </c>
      <c r="M76" s="90">
        <f t="shared" si="53"/>
        <v>46665</v>
      </c>
      <c r="N76" s="10">
        <v>45974</v>
      </c>
      <c r="O76" s="10">
        <v>46703</v>
      </c>
      <c r="P76" s="17">
        <v>45974</v>
      </c>
      <c r="Q76" s="17">
        <v>46703</v>
      </c>
      <c r="R76" s="18">
        <v>45966</v>
      </c>
      <c r="S76" s="18">
        <v>46695</v>
      </c>
      <c r="T76" s="18">
        <v>45995</v>
      </c>
      <c r="U76" s="480">
        <f>IF(ISBLANK(T76),"",EDATE(T76,24))-1</f>
        <v>46724</v>
      </c>
      <c r="V76" s="17">
        <v>45978</v>
      </c>
      <c r="W76" s="480">
        <f t="shared" si="64"/>
        <v>46707</v>
      </c>
      <c r="X76" s="17">
        <v>45972</v>
      </c>
      <c r="Y76" s="480">
        <f t="shared" si="65"/>
        <v>46701</v>
      </c>
      <c r="Z76" s="400">
        <v>45989</v>
      </c>
      <c r="AA76" s="400">
        <v>46718</v>
      </c>
      <c r="AB76" s="483">
        <v>45976</v>
      </c>
      <c r="AC76" s="483">
        <f t="shared" si="67"/>
        <v>46705</v>
      </c>
      <c r="AD76" s="483">
        <v>46000</v>
      </c>
      <c r="AE76" s="483">
        <f t="shared" si="68"/>
        <v>46729</v>
      </c>
      <c r="AF76" s="387">
        <v>45933</v>
      </c>
      <c r="AG76" s="90">
        <f t="shared" si="54"/>
        <v>46662</v>
      </c>
      <c r="AH76" s="388">
        <v>45939</v>
      </c>
      <c r="AI76" s="90">
        <f t="shared" si="69"/>
        <v>46668</v>
      </c>
      <c r="AJ76" s="388">
        <v>45940</v>
      </c>
      <c r="AK76" s="97">
        <f t="shared" si="55"/>
        <v>46669</v>
      </c>
      <c r="AL76" s="395">
        <v>45941</v>
      </c>
      <c r="AM76" s="91">
        <f t="shared" si="74"/>
        <v>46671</v>
      </c>
      <c r="AN76" s="395">
        <v>45942</v>
      </c>
      <c r="AO76" s="90">
        <f t="shared" si="71"/>
        <v>46671</v>
      </c>
      <c r="AP76" s="317"/>
      <c r="AQ76" s="91" t="e">
        <f t="shared" si="56"/>
        <v>#VALUE!</v>
      </c>
      <c r="AR76" s="398"/>
      <c r="AS76" s="91" t="e">
        <f t="shared" si="72"/>
        <v>#VALUE!</v>
      </c>
      <c r="AT76" s="10"/>
      <c r="AU76" s="91" t="e">
        <f t="shared" si="73"/>
        <v>#VALUE!</v>
      </c>
      <c r="AV76" s="10"/>
      <c r="AW76" s="91" t="e">
        <f t="shared" si="57"/>
        <v>#VALUE!</v>
      </c>
      <c r="AX76" s="11"/>
      <c r="AY76" s="91" t="e">
        <f t="shared" si="58"/>
        <v>#VALUE!</v>
      </c>
      <c r="AZ76" s="11"/>
      <c r="BA76" s="91" t="e">
        <f t="shared" si="59"/>
        <v>#VALUE!</v>
      </c>
      <c r="BB76" s="11"/>
      <c r="BC76" s="91" t="e">
        <f t="shared" si="60"/>
        <v>#VALUE!</v>
      </c>
      <c r="BD76" s="11"/>
      <c r="BE76" s="91" t="e">
        <f t="shared" si="61"/>
        <v>#VALUE!</v>
      </c>
      <c r="BF76" s="399"/>
      <c r="BG76" s="399"/>
      <c r="BH76" s="317"/>
      <c r="BI76" s="317"/>
      <c r="BJ76" s="317"/>
      <c r="BK76" s="317"/>
      <c r="BL76" s="11"/>
      <c r="BM76" s="91" t="e">
        <f t="shared" si="62"/>
        <v>#VALUE!</v>
      </c>
      <c r="BN76" s="11"/>
      <c r="BO76" s="11"/>
      <c r="BP76" s="11"/>
      <c r="BQ76" s="11"/>
      <c r="BR76" s="11"/>
      <c r="BS76" s="11"/>
      <c r="BT76" s="11"/>
      <c r="BU76" s="10">
        <v>45993</v>
      </c>
      <c r="BV76" s="11"/>
      <c r="BW76" s="10">
        <v>46007</v>
      </c>
      <c r="BX76" s="11"/>
      <c r="BY76" s="10">
        <v>45992</v>
      </c>
      <c r="BZ76" s="11"/>
      <c r="CA76" s="10">
        <v>46007</v>
      </c>
      <c r="CB76" s="401"/>
      <c r="CC76" s="11"/>
      <c r="CD76" s="11"/>
      <c r="CE76" s="70" t="s">
        <v>232</v>
      </c>
      <c r="CF76" s="434">
        <v>46015</v>
      </c>
      <c r="CG76" s="70" t="s">
        <v>232</v>
      </c>
      <c r="CH76" s="425" t="s">
        <v>232</v>
      </c>
      <c r="CI76" s="11"/>
      <c r="CJ76" s="11"/>
      <c r="CK76" s="317"/>
      <c r="CL76" s="11" t="s">
        <v>232</v>
      </c>
      <c r="CM76" s="317"/>
      <c r="CN76" s="11"/>
      <c r="CO76" s="11"/>
      <c r="CP76" s="11"/>
      <c r="CQ76" s="10">
        <v>46002</v>
      </c>
      <c r="CR76" s="10">
        <v>46002</v>
      </c>
      <c r="CS76" s="10">
        <v>46002</v>
      </c>
      <c r="CT76" s="11">
        <v>45947</v>
      </c>
      <c r="CU76" s="11"/>
      <c r="CV76" s="11"/>
      <c r="CW76" s="11"/>
      <c r="CX76" s="10"/>
      <c r="CY76" s="11"/>
    </row>
    <row r="77" spans="2:103" ht="50.25" customHeight="1">
      <c r="B77" s="462">
        <v>74</v>
      </c>
      <c r="C77" s="465" t="s">
        <v>790</v>
      </c>
      <c r="D77" s="385" t="s">
        <v>794</v>
      </c>
      <c r="E77" s="385" t="s">
        <v>795</v>
      </c>
      <c r="F77" s="385" t="s">
        <v>422</v>
      </c>
      <c r="G77" s="444"/>
      <c r="H77" s="290"/>
      <c r="I77" s="1" t="str">
        <f>IF(ISBLANK(H77),"",EDATE(H77,24))</f>
        <v/>
      </c>
      <c r="J77" s="290"/>
      <c r="K77" s="91"/>
      <c r="L77" s="290"/>
      <c r="M77" s="91" t="str">
        <f>IF(ISBLANK(L77),"",EDATE(L77,24))</f>
        <v/>
      </c>
      <c r="N77" s="10" t="s">
        <v>231</v>
      </c>
      <c r="O77" s="10" t="s">
        <v>231</v>
      </c>
      <c r="P77" s="10" t="s">
        <v>231</v>
      </c>
      <c r="Q77" s="10" t="s">
        <v>231</v>
      </c>
      <c r="R77" s="10" t="s">
        <v>231</v>
      </c>
      <c r="S77" s="10" t="s">
        <v>231</v>
      </c>
      <c r="T77" s="18"/>
      <c r="U77" s="1"/>
      <c r="V77" s="325"/>
      <c r="W77" s="1"/>
      <c r="X77" s="17"/>
      <c r="Y77" s="1"/>
      <c r="Z77" s="328"/>
      <c r="AA77" s="399"/>
      <c r="AB77" s="1"/>
      <c r="AC77" s="1"/>
      <c r="AD77" s="1"/>
      <c r="AE77" s="1"/>
      <c r="AF77" s="407"/>
      <c r="AG77" s="1" t="str">
        <f>IF(ISBLANK(AF77),"",EDATE(AF77,24))</f>
        <v/>
      </c>
      <c r="AH77" s="395"/>
      <c r="AI77" s="1" t="str">
        <f>IF(ISBLANK(AH77),"",EDATE(AH77,24))</f>
        <v/>
      </c>
      <c r="AJ77" s="395"/>
      <c r="AK77" s="1"/>
      <c r="AL77" s="408"/>
      <c r="AM77" s="1"/>
      <c r="AN77" s="408"/>
      <c r="AO77" s="1" t="str">
        <f>IF(ISBLANK(AJ77),"",EDATE(AJ77,24))</f>
        <v/>
      </c>
      <c r="AP77" s="317"/>
      <c r="AQ77" s="91"/>
      <c r="AR77" s="398"/>
      <c r="AS77" s="91"/>
      <c r="AT77" s="10"/>
      <c r="AU77" s="91" t="e">
        <f t="shared" si="73"/>
        <v>#VALUE!</v>
      </c>
      <c r="AV77" s="10"/>
      <c r="AW77" s="91" t="e">
        <f t="shared" si="57"/>
        <v>#VALUE!</v>
      </c>
      <c r="AX77" s="11"/>
      <c r="AY77" s="91" t="e">
        <f t="shared" si="58"/>
        <v>#VALUE!</v>
      </c>
      <c r="AZ77" s="11"/>
      <c r="BA77" s="91" t="e">
        <f t="shared" si="59"/>
        <v>#VALUE!</v>
      </c>
      <c r="BB77" s="11">
        <v>46077</v>
      </c>
      <c r="BC77" s="91">
        <f t="shared" si="60"/>
        <v>46806</v>
      </c>
      <c r="BD77" s="11"/>
      <c r="BE77" s="91" t="e">
        <f t="shared" si="61"/>
        <v>#VALUE!</v>
      </c>
      <c r="BF77" s="399"/>
      <c r="BG77" s="399"/>
      <c r="BH77" s="317"/>
      <c r="BI77" s="317"/>
      <c r="BJ77" s="317"/>
      <c r="BK77" s="317"/>
      <c r="BL77" s="11"/>
      <c r="BM77" s="314"/>
      <c r="BN77" s="11"/>
      <c r="BO77" s="11"/>
      <c r="BP77" s="11"/>
      <c r="BQ77" s="11"/>
      <c r="BR77" s="11"/>
      <c r="BS77" s="11"/>
      <c r="BT77" s="11"/>
      <c r="BU77" s="10"/>
      <c r="BV77" s="11"/>
      <c r="BW77" s="10"/>
      <c r="BX77" s="11"/>
      <c r="BY77" s="10"/>
      <c r="BZ77" s="11"/>
      <c r="CA77" s="10"/>
      <c r="CB77" s="399"/>
      <c r="CC77" s="11"/>
      <c r="CD77" s="11"/>
      <c r="CE77" s="314"/>
      <c r="CF77" s="314"/>
      <c r="CG77" s="314"/>
      <c r="CH77" s="493"/>
      <c r="CI77" s="399"/>
      <c r="CJ77" s="11"/>
      <c r="CK77" s="317"/>
      <c r="CL77" s="11"/>
      <c r="CM77" s="317"/>
      <c r="CN77" s="11"/>
      <c r="CO77" s="11"/>
      <c r="CP77" s="11"/>
      <c r="CQ77" s="10"/>
      <c r="CR77" s="10"/>
      <c r="CS77" s="10"/>
      <c r="CT77" s="11"/>
      <c r="CU77" s="11"/>
      <c r="CV77" s="11"/>
      <c r="CW77" s="11"/>
      <c r="CX77" s="10"/>
      <c r="CY77" s="11"/>
    </row>
    <row r="78" spans="2:103" ht="50.25" customHeight="1">
      <c r="B78" s="462">
        <v>75</v>
      </c>
      <c r="C78" s="465" t="s">
        <v>116</v>
      </c>
      <c r="D78" s="385" t="s">
        <v>117</v>
      </c>
      <c r="E78" s="385" t="s">
        <v>484</v>
      </c>
      <c r="F78" s="403" t="s">
        <v>422</v>
      </c>
      <c r="G78" s="444" t="s">
        <v>485</v>
      </c>
      <c r="H78" s="290">
        <v>45934</v>
      </c>
      <c r="I78" s="91">
        <f>IF(ISBLANK(H78),"",EDATE(H78,24))-1</f>
        <v>46663</v>
      </c>
      <c r="J78" s="290">
        <v>45935</v>
      </c>
      <c r="K78" s="91">
        <f>IF(ISBLANK(J78),"",EDATE(J78,24))-1</f>
        <v>46664</v>
      </c>
      <c r="L78" s="290">
        <v>45936</v>
      </c>
      <c r="M78" s="91">
        <f>IF(ISBLANK(L78),"",EDATE(L78,24))-1</f>
        <v>46665</v>
      </c>
      <c r="N78" s="10">
        <v>45974</v>
      </c>
      <c r="O78" s="325">
        <v>46703</v>
      </c>
      <c r="P78" s="10">
        <v>45974</v>
      </c>
      <c r="Q78" s="325">
        <v>46703</v>
      </c>
      <c r="R78" s="18">
        <v>45966</v>
      </c>
      <c r="S78" s="18">
        <v>46695</v>
      </c>
      <c r="T78" s="18">
        <v>45995</v>
      </c>
      <c r="U78" s="91">
        <f>IF(ISBLANK(T78),"",EDATE(T78,24))-1</f>
        <v>46724</v>
      </c>
      <c r="V78" s="325">
        <v>45978</v>
      </c>
      <c r="W78" s="91">
        <f>IF(ISBLANK(V78),"",EDATE(V78,24))-1</f>
        <v>46707</v>
      </c>
      <c r="X78" s="17">
        <v>45972</v>
      </c>
      <c r="Y78" s="91">
        <f>IF(ISBLANK(X78),"",EDATE(X78,24))-1</f>
        <v>46701</v>
      </c>
      <c r="Z78" s="328">
        <v>45989</v>
      </c>
      <c r="AA78" s="91">
        <f>IF(ISBLANK(Z78),"",EDATE(Z78,24))-1</f>
        <v>46718</v>
      </c>
      <c r="AB78" s="91">
        <v>45976</v>
      </c>
      <c r="AC78" s="91">
        <f>IF(ISBLANK(AB78),"",EDATE(AB78,24))-1</f>
        <v>46705</v>
      </c>
      <c r="AD78" s="91">
        <v>45998</v>
      </c>
      <c r="AE78" s="91">
        <f>IF(ISBLANK(AD78),"",EDATE(AD78,24))-1</f>
        <v>46727</v>
      </c>
      <c r="AF78" s="407">
        <v>45933</v>
      </c>
      <c r="AG78" s="91">
        <f>IF(ISBLANK(AF78),"",EDATE(AF78,24))-1</f>
        <v>46662</v>
      </c>
      <c r="AH78" s="395">
        <v>45939</v>
      </c>
      <c r="AI78" s="91">
        <f>IF(ISBLANK(AH78),"",EDATE(AH78,24))-1</f>
        <v>46668</v>
      </c>
      <c r="AJ78" s="395">
        <v>45940</v>
      </c>
      <c r="AK78" s="91">
        <f>IF(ISBLANK(AJ78),"",EDATE(AJ78,24))-1</f>
        <v>46669</v>
      </c>
      <c r="AL78" s="408">
        <v>45941</v>
      </c>
      <c r="AM78" s="91">
        <f>IF(ISBLANK(AL78),"",EDATE(AL78,12))-1</f>
        <v>46305</v>
      </c>
      <c r="AN78" s="408">
        <v>45942</v>
      </c>
      <c r="AO78" s="91">
        <f>IF(ISBLANK(AN78),"",EDATE(AN78,24))-1</f>
        <v>46671</v>
      </c>
      <c r="AP78" s="317"/>
      <c r="AQ78" s="91" t="e">
        <f>IF(ISBLANK(AP78),"",EDATE(AP78,24))-1</f>
        <v>#VALUE!</v>
      </c>
      <c r="AR78" s="398"/>
      <c r="AS78" s="91" t="e">
        <f>IF(ISBLANK(AR78),"",EDATE(AR78,24))-1</f>
        <v>#VALUE!</v>
      </c>
      <c r="AT78" s="10"/>
      <c r="AU78" s="91" t="e">
        <f t="shared" si="73"/>
        <v>#VALUE!</v>
      </c>
      <c r="AV78" s="10">
        <v>46078</v>
      </c>
      <c r="AW78" s="91">
        <f t="shared" si="57"/>
        <v>46807</v>
      </c>
      <c r="AX78" s="10">
        <v>46073</v>
      </c>
      <c r="AY78" s="91">
        <f t="shared" si="58"/>
        <v>46802</v>
      </c>
      <c r="AZ78" s="11"/>
      <c r="BA78" s="91" t="e">
        <f t="shared" si="59"/>
        <v>#VALUE!</v>
      </c>
      <c r="BB78" s="11"/>
      <c r="BC78" s="91" t="e">
        <f t="shared" si="60"/>
        <v>#VALUE!</v>
      </c>
      <c r="BD78" s="11"/>
      <c r="BE78" s="91" t="e">
        <f t="shared" si="61"/>
        <v>#VALUE!</v>
      </c>
      <c r="BF78" s="399"/>
      <c r="BG78" s="399"/>
      <c r="BH78" s="317"/>
      <c r="BI78" s="317"/>
      <c r="BJ78" s="317"/>
      <c r="BK78" s="317"/>
      <c r="BL78" s="11"/>
      <c r="BM78" s="91" t="e">
        <f>IF(ISBLANK(BL78),"",EDATE(BL78,24))-1</f>
        <v>#VALUE!</v>
      </c>
      <c r="BN78" s="11"/>
      <c r="BO78" s="11"/>
      <c r="BP78" s="11"/>
      <c r="BQ78" s="11"/>
      <c r="BR78" s="11"/>
      <c r="BS78" s="11"/>
      <c r="BT78" s="11"/>
      <c r="BU78" s="10">
        <v>45993</v>
      </c>
      <c r="BV78" s="11"/>
      <c r="BW78" s="10">
        <v>46007</v>
      </c>
      <c r="BX78" s="11"/>
      <c r="BY78" s="10">
        <v>45992</v>
      </c>
      <c r="BZ78" s="10">
        <v>46013</v>
      </c>
      <c r="CA78" s="10">
        <v>46007</v>
      </c>
      <c r="CB78" s="399"/>
      <c r="CC78" s="11"/>
      <c r="CD78" s="11"/>
      <c r="CE78" s="70" t="s">
        <v>232</v>
      </c>
      <c r="CF78" s="434">
        <v>46015</v>
      </c>
      <c r="CG78" s="70" t="s">
        <v>232</v>
      </c>
      <c r="CH78" s="70" t="s">
        <v>232</v>
      </c>
      <c r="CI78" s="91">
        <v>46049</v>
      </c>
      <c r="CJ78" s="11"/>
      <c r="CK78" s="317"/>
      <c r="CL78" s="11" t="s">
        <v>232</v>
      </c>
      <c r="CM78" s="317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0"/>
      <c r="CY78" s="11"/>
    </row>
    <row r="79" spans="2:103" ht="50.25" customHeight="1">
      <c r="B79" s="462">
        <v>76</v>
      </c>
      <c r="C79" s="465" t="s">
        <v>486</v>
      </c>
      <c r="D79" s="385" t="s">
        <v>487</v>
      </c>
      <c r="E79" s="385" t="s">
        <v>488</v>
      </c>
      <c r="F79" s="385" t="s">
        <v>455</v>
      </c>
      <c r="G79" s="444"/>
      <c r="H79" s="290">
        <v>45934</v>
      </c>
      <c r="I79" s="91">
        <f>IF(ISBLANK(H79),"",EDATE(H79,24))-1</f>
        <v>46663</v>
      </c>
      <c r="J79" s="290">
        <v>45935</v>
      </c>
      <c r="K79" s="91">
        <f>IF(ISBLANK(J79),"",EDATE(J79,24))-1</f>
        <v>46664</v>
      </c>
      <c r="L79" s="290">
        <v>45936</v>
      </c>
      <c r="M79" s="91">
        <f>IF(ISBLANK(L79),"",EDATE(L79,24))-1</f>
        <v>46665</v>
      </c>
      <c r="N79" s="10">
        <v>45974</v>
      </c>
      <c r="O79" s="421">
        <v>46703</v>
      </c>
      <c r="P79" s="38">
        <v>45974</v>
      </c>
      <c r="Q79" s="421">
        <v>46703</v>
      </c>
      <c r="R79" s="40">
        <v>45966</v>
      </c>
      <c r="S79" s="40">
        <v>46695</v>
      </c>
      <c r="T79" s="40">
        <v>45995</v>
      </c>
      <c r="U79" s="91">
        <f>IF(ISBLANK(T79),"",EDATE(T79,24))-1</f>
        <v>46724</v>
      </c>
      <c r="V79" s="421">
        <v>45978</v>
      </c>
      <c r="W79" s="91">
        <f>IF(ISBLANK(V79),"",EDATE(V79,24))-1</f>
        <v>46707</v>
      </c>
      <c r="X79" s="413">
        <v>45972</v>
      </c>
      <c r="Y79" s="91">
        <f>IF(ISBLANK(X79),"",EDATE(X79,24))-1</f>
        <v>46701</v>
      </c>
      <c r="Z79" s="406">
        <v>45989</v>
      </c>
      <c r="AA79" s="91">
        <f>IF(ISBLANK(Z79),"",EDATE(Z79,24))-1</f>
        <v>46718</v>
      </c>
      <c r="AB79" s="416">
        <v>45976</v>
      </c>
      <c r="AC79" s="91">
        <f>IF(ISBLANK(AB79),"",EDATE(AB79,24))-1</f>
        <v>46705</v>
      </c>
      <c r="AD79" s="484">
        <v>46000</v>
      </c>
      <c r="AE79" s="484">
        <f>IF(ISBLANK(AD79),"",EDATE(AD79,24))-1</f>
        <v>46729</v>
      </c>
      <c r="AF79" s="407">
        <v>45933</v>
      </c>
      <c r="AG79" s="416">
        <f>IF(ISBLANK(AF79),"",EDATE(AF79,24))-1</f>
        <v>46662</v>
      </c>
      <c r="AH79" s="395">
        <v>45939</v>
      </c>
      <c r="AI79" s="416">
        <f>IF(ISBLANK(AH79),"",EDATE(AH79,24))-1</f>
        <v>46668</v>
      </c>
      <c r="AJ79" s="395">
        <v>45940</v>
      </c>
      <c r="AK79" s="416">
        <f>IF(ISBLANK(AJ79),"",EDATE(AJ79,24))-1</f>
        <v>46669</v>
      </c>
      <c r="AL79" s="408">
        <v>45941</v>
      </c>
      <c r="AM79" s="91">
        <f t="shared" ref="AM79:AM85" si="75">IF(ISBLANK(AL79),"",EDATE(AL79,24))</f>
        <v>46671</v>
      </c>
      <c r="AN79" s="408">
        <v>45942</v>
      </c>
      <c r="AO79" s="416">
        <f>IF(ISBLANK(AN79),"",EDATE(AN79,24))-1</f>
        <v>46671</v>
      </c>
      <c r="AP79" s="409"/>
      <c r="AQ79" s="416" t="e">
        <f>IF(ISBLANK(AP79),"",EDATE(AP79,24))-1</f>
        <v>#VALUE!</v>
      </c>
      <c r="AR79" s="410"/>
      <c r="AS79" s="416" t="e">
        <f>IF(ISBLANK(AR79),"",EDATE(AR79,24))-1</f>
        <v>#VALUE!</v>
      </c>
      <c r="AT79" s="38"/>
      <c r="AU79" s="91" t="e">
        <f t="shared" si="73"/>
        <v>#VALUE!</v>
      </c>
      <c r="AV79" s="38"/>
      <c r="AW79" s="91" t="e">
        <f t="shared" si="57"/>
        <v>#VALUE!</v>
      </c>
      <c r="AX79" s="39"/>
      <c r="AY79" s="91" t="e">
        <f t="shared" si="58"/>
        <v>#VALUE!</v>
      </c>
      <c r="AZ79" s="39"/>
      <c r="BA79" s="91" t="e">
        <f t="shared" si="59"/>
        <v>#VALUE!</v>
      </c>
      <c r="BB79" s="39"/>
      <c r="BC79" s="91" t="e">
        <f t="shared" si="60"/>
        <v>#VALUE!</v>
      </c>
      <c r="BD79" s="39"/>
      <c r="BE79" s="91" t="e">
        <f t="shared" si="61"/>
        <v>#VALUE!</v>
      </c>
      <c r="BF79" s="401"/>
      <c r="BG79" s="401"/>
      <c r="BH79" s="409"/>
      <c r="BI79" s="409"/>
      <c r="BJ79" s="409"/>
      <c r="BK79" s="409"/>
      <c r="BL79" s="39"/>
      <c r="BM79" s="91" t="e">
        <f>IF(ISBLANK(BL79),"",EDATE(BL79,24))-1</f>
        <v>#VALUE!</v>
      </c>
      <c r="BN79" s="39"/>
      <c r="BO79" s="39"/>
      <c r="BP79" s="39"/>
      <c r="BQ79" s="39"/>
      <c r="BR79" s="39"/>
      <c r="BS79" s="39"/>
      <c r="BT79" s="39"/>
      <c r="BU79" s="38">
        <v>45993</v>
      </c>
      <c r="BV79" s="39"/>
      <c r="BW79" s="38">
        <v>46007</v>
      </c>
      <c r="BX79" s="39"/>
      <c r="BY79" s="38">
        <v>45992</v>
      </c>
      <c r="BZ79" s="39"/>
      <c r="CA79" s="38">
        <v>46007</v>
      </c>
      <c r="CB79" s="401"/>
      <c r="CC79" s="39"/>
      <c r="CD79" s="39"/>
      <c r="CE79" s="423" t="s">
        <v>232</v>
      </c>
      <c r="CF79" s="70" t="s">
        <v>232</v>
      </c>
      <c r="CG79" s="423" t="s">
        <v>232</v>
      </c>
      <c r="CH79" s="423" t="s">
        <v>232</v>
      </c>
      <c r="CI79" s="91">
        <v>46049</v>
      </c>
      <c r="CJ79" s="39"/>
      <c r="CK79" s="409"/>
      <c r="CL79" s="39" t="s">
        <v>232</v>
      </c>
      <c r="CM79" s="409"/>
      <c r="CN79" s="39"/>
      <c r="CO79" s="39"/>
      <c r="CP79" s="39"/>
      <c r="CQ79" s="10">
        <v>46002</v>
      </c>
      <c r="CR79" s="10">
        <v>46002</v>
      </c>
      <c r="CS79" s="10">
        <v>46002</v>
      </c>
      <c r="CT79" s="39"/>
      <c r="CU79" s="39"/>
      <c r="CV79" s="39"/>
      <c r="CW79" s="39"/>
      <c r="CX79" s="38"/>
      <c r="CY79" s="39"/>
    </row>
    <row r="80" spans="2:103" ht="80.25" customHeight="1">
      <c r="B80" s="462">
        <v>77</v>
      </c>
      <c r="C80" s="465" t="s">
        <v>489</v>
      </c>
      <c r="D80" s="385" t="s">
        <v>490</v>
      </c>
      <c r="E80" s="385" t="s">
        <v>491</v>
      </c>
      <c r="F80" s="385" t="s">
        <v>455</v>
      </c>
      <c r="G80" s="444" t="s">
        <v>232</v>
      </c>
      <c r="H80" s="290">
        <v>45934</v>
      </c>
      <c r="I80" s="91">
        <f>IF(ISBLANK(H80),"",EDATE(H80,24))-1</f>
        <v>46663</v>
      </c>
      <c r="J80" s="290">
        <v>45935</v>
      </c>
      <c r="K80" s="91">
        <f>IF(ISBLANK(J80),"",EDATE(J80,24))-1</f>
        <v>46664</v>
      </c>
      <c r="L80" s="290">
        <v>45936</v>
      </c>
      <c r="M80" s="91">
        <f>IF(ISBLANK(L80),"",EDATE(L80,24))-1</f>
        <v>46665</v>
      </c>
      <c r="N80" s="390">
        <v>45974</v>
      </c>
      <c r="O80" s="10">
        <v>46703</v>
      </c>
      <c r="P80" s="10">
        <v>45974</v>
      </c>
      <c r="Q80" s="10">
        <v>46703</v>
      </c>
      <c r="R80" s="11">
        <v>45966</v>
      </c>
      <c r="S80" s="11">
        <v>46695</v>
      </c>
      <c r="T80" s="11">
        <v>45995</v>
      </c>
      <c r="U80" s="90">
        <f>IF(ISBLANK(T80),"",EDATE(T80,24))-1</f>
        <v>46724</v>
      </c>
      <c r="V80" s="10">
        <v>45978</v>
      </c>
      <c r="W80" s="91">
        <f>IF(ISBLANK(V80),"",EDATE(V80,24))-1</f>
        <v>46707</v>
      </c>
      <c r="X80" s="10">
        <v>45972</v>
      </c>
      <c r="Y80" s="91">
        <f>IF(ISBLANK(X80),"",EDATE(X80,24))-1</f>
        <v>46701</v>
      </c>
      <c r="Z80" s="11">
        <v>45989</v>
      </c>
      <c r="AA80" s="91">
        <f>IF(ISBLANK(Z80),"",EDATE(Z80,24))-1</f>
        <v>46718</v>
      </c>
      <c r="AB80" s="90">
        <v>45976</v>
      </c>
      <c r="AC80" s="91">
        <f>IF(ISBLANK(AB80),"",EDATE(AB80,24))-1</f>
        <v>46705</v>
      </c>
      <c r="AD80" s="11" t="s">
        <v>232</v>
      </c>
      <c r="AE80" s="11" t="s">
        <v>232</v>
      </c>
      <c r="AF80" s="387">
        <v>45933</v>
      </c>
      <c r="AG80" s="90">
        <f>IF(ISBLANK(AF80),"",EDATE(AF80,24))-1</f>
        <v>46662</v>
      </c>
      <c r="AH80" s="388">
        <v>45939</v>
      </c>
      <c r="AI80" s="90">
        <f>IF(ISBLANK(AH80),"",EDATE(AH80,24))-1</f>
        <v>46668</v>
      </c>
      <c r="AJ80" s="388">
        <v>45940</v>
      </c>
      <c r="AK80" s="90">
        <f>IF(ISBLANK(AJ80),"",EDATE(AJ80,24))-1</f>
        <v>46669</v>
      </c>
      <c r="AL80" s="388">
        <v>45941</v>
      </c>
      <c r="AM80" s="91">
        <f t="shared" si="75"/>
        <v>46671</v>
      </c>
      <c r="AN80" s="388">
        <v>45942</v>
      </c>
      <c r="AO80" s="90">
        <f>IF(ISBLANK(AN80),"",EDATE(AN80,24))-1</f>
        <v>46671</v>
      </c>
      <c r="AP80" s="285" t="s">
        <v>232</v>
      </c>
      <c r="AQ80" s="90" t="e">
        <f>IF(ISBLANK(AP80),"",EDATE(AP80,24))-1</f>
        <v>#VALUE!</v>
      </c>
      <c r="AR80" s="398" t="s">
        <v>232</v>
      </c>
      <c r="AS80" s="90" t="e">
        <f>IF(ISBLANK(AR80),"",EDATE(AR80,24))-1</f>
        <v>#VALUE!</v>
      </c>
      <c r="AT80" s="10"/>
      <c r="AU80" s="91" t="e">
        <f t="shared" si="73"/>
        <v>#VALUE!</v>
      </c>
      <c r="AV80" s="10"/>
      <c r="AW80" s="91" t="e">
        <f t="shared" si="57"/>
        <v>#VALUE!</v>
      </c>
      <c r="AX80" s="11" t="s">
        <v>232</v>
      </c>
      <c r="AY80" s="91" t="e">
        <f t="shared" si="58"/>
        <v>#VALUE!</v>
      </c>
      <c r="AZ80" s="11" t="s">
        <v>232</v>
      </c>
      <c r="BA80" s="91" t="e">
        <f t="shared" si="59"/>
        <v>#VALUE!</v>
      </c>
      <c r="BB80" s="11" t="s">
        <v>232</v>
      </c>
      <c r="BC80" s="91" t="e">
        <f t="shared" si="60"/>
        <v>#VALUE!</v>
      </c>
      <c r="BD80" s="11" t="s">
        <v>232</v>
      </c>
      <c r="BE80" s="91" t="e">
        <f t="shared" si="61"/>
        <v>#VALUE!</v>
      </c>
      <c r="BF80" s="11" t="s">
        <v>232</v>
      </c>
      <c r="BG80" s="11" t="s">
        <v>232</v>
      </c>
      <c r="BH80" s="285" t="s">
        <v>232</v>
      </c>
      <c r="BI80" s="285" t="s">
        <v>232</v>
      </c>
      <c r="BJ80" s="285" t="s">
        <v>232</v>
      </c>
      <c r="BK80" s="285" t="s">
        <v>232</v>
      </c>
      <c r="BL80" s="11" t="s">
        <v>232</v>
      </c>
      <c r="BM80" s="91" t="e">
        <f>IF(ISBLANK(BL80),"",EDATE(BL80,24))-1</f>
        <v>#VALUE!</v>
      </c>
      <c r="BN80" s="11" t="s">
        <v>232</v>
      </c>
      <c r="BO80" s="11" t="s">
        <v>232</v>
      </c>
      <c r="BP80" s="11" t="s">
        <v>232</v>
      </c>
      <c r="BQ80" s="11" t="s">
        <v>232</v>
      </c>
      <c r="BR80" s="11" t="s">
        <v>232</v>
      </c>
      <c r="BS80" s="11" t="s">
        <v>232</v>
      </c>
      <c r="BT80" s="11" t="s">
        <v>232</v>
      </c>
      <c r="BU80" s="11" t="s">
        <v>232</v>
      </c>
      <c r="BV80" s="11" t="s">
        <v>232</v>
      </c>
      <c r="BW80" s="11" t="s">
        <v>232</v>
      </c>
      <c r="BX80" s="11" t="s">
        <v>232</v>
      </c>
      <c r="BY80" s="10">
        <v>45992</v>
      </c>
      <c r="BZ80" s="11" t="s">
        <v>232</v>
      </c>
      <c r="CA80" s="11" t="s">
        <v>232</v>
      </c>
      <c r="CB80" s="11" t="s">
        <v>232</v>
      </c>
      <c r="CC80" s="11" t="s">
        <v>232</v>
      </c>
      <c r="CD80" s="11" t="s">
        <v>232</v>
      </c>
      <c r="CE80" s="425" t="s">
        <v>232</v>
      </c>
      <c r="CF80" s="434">
        <v>46015</v>
      </c>
      <c r="CG80" s="425" t="s">
        <v>232</v>
      </c>
      <c r="CH80" s="425" t="s">
        <v>232</v>
      </c>
      <c r="CI80" s="90">
        <v>46049</v>
      </c>
      <c r="CJ80" s="11" t="s">
        <v>232</v>
      </c>
      <c r="CK80" s="285" t="s">
        <v>232</v>
      </c>
      <c r="CL80" s="11" t="s">
        <v>232</v>
      </c>
      <c r="CM80" s="285" t="s">
        <v>232</v>
      </c>
      <c r="CN80" s="11" t="s">
        <v>232</v>
      </c>
      <c r="CO80" s="11" t="s">
        <v>232</v>
      </c>
      <c r="CP80" s="11" t="s">
        <v>232</v>
      </c>
      <c r="CQ80" s="10">
        <v>46002</v>
      </c>
      <c r="CR80" s="10">
        <v>46002</v>
      </c>
      <c r="CS80" s="10">
        <v>46002</v>
      </c>
      <c r="CT80" s="11" t="s">
        <v>232</v>
      </c>
      <c r="CU80" s="11">
        <v>46070</v>
      </c>
      <c r="CV80" s="11" t="s">
        <v>232</v>
      </c>
      <c r="CW80" s="11" t="s">
        <v>232</v>
      </c>
      <c r="CX80" s="11"/>
      <c r="CY80" s="11"/>
    </row>
    <row r="81" spans="2:103" ht="75" customHeight="1">
      <c r="B81" s="462">
        <v>78</v>
      </c>
      <c r="C81" s="465" t="s">
        <v>492</v>
      </c>
      <c r="D81" s="385" t="s">
        <v>493</v>
      </c>
      <c r="E81" s="385" t="s">
        <v>494</v>
      </c>
      <c r="F81" s="411" t="s">
        <v>229</v>
      </c>
      <c r="G81" s="440" t="s">
        <v>495</v>
      </c>
      <c r="H81" s="412">
        <v>45934</v>
      </c>
      <c r="I81" s="91">
        <f>IF(ISBLANK(H81),"",EDATE(H81,24))-1</f>
        <v>46663</v>
      </c>
      <c r="J81" s="290">
        <v>45935</v>
      </c>
      <c r="K81" s="91">
        <f>IF(ISBLANK(J81),"",EDATE(J81,24))-1</f>
        <v>46664</v>
      </c>
      <c r="L81" s="319">
        <v>45936</v>
      </c>
      <c r="M81" s="91">
        <f>IF(ISBLANK(L81),"",EDATE(L81,24))-1</f>
        <v>46665</v>
      </c>
      <c r="N81" s="390">
        <v>45974</v>
      </c>
      <c r="O81" s="10">
        <v>46703</v>
      </c>
      <c r="P81" s="390">
        <v>45974</v>
      </c>
      <c r="Q81" s="10">
        <v>46703</v>
      </c>
      <c r="R81" s="11">
        <v>45966</v>
      </c>
      <c r="S81" s="11">
        <v>46695</v>
      </c>
      <c r="T81" s="11" t="s">
        <v>231</v>
      </c>
      <c r="U81" s="11" t="s">
        <v>231</v>
      </c>
      <c r="V81" s="10">
        <v>45978</v>
      </c>
      <c r="W81" s="90">
        <f>IF(ISBLANK(V81),"",EDATE(V81,24))-1</f>
        <v>46707</v>
      </c>
      <c r="X81" s="10">
        <v>45972</v>
      </c>
      <c r="Y81" s="90">
        <f>IF(ISBLANK(X81),"",EDATE(X81,24))-1</f>
        <v>46701</v>
      </c>
      <c r="Z81" s="11">
        <v>45989</v>
      </c>
      <c r="AA81" s="90">
        <f>IF(ISBLANK(Z81),"",EDATE(Z81,24))-1</f>
        <v>46718</v>
      </c>
      <c r="AB81" s="90">
        <v>45976</v>
      </c>
      <c r="AC81" s="90">
        <f>IF(ISBLANK(AB81),"",EDATE(AB81,24))-1</f>
        <v>46705</v>
      </c>
      <c r="AD81" s="483" t="s">
        <v>231</v>
      </c>
      <c r="AE81" s="91" t="s">
        <v>231</v>
      </c>
      <c r="AF81" s="387">
        <v>45933</v>
      </c>
      <c r="AG81" s="90">
        <f>IF(ISBLANK(AF81),"",EDATE(AF81,24))-1</f>
        <v>46662</v>
      </c>
      <c r="AH81" s="485">
        <v>45939</v>
      </c>
      <c r="AI81" s="90">
        <f>IF(ISBLANK(AH81),"",EDATE(AH81,24))-1</f>
        <v>46668</v>
      </c>
      <c r="AJ81" s="485">
        <v>45945</v>
      </c>
      <c r="AK81" s="91">
        <f>IF(ISBLANK(AJ81),"",EDATE(AJ81,24))-1</f>
        <v>46674</v>
      </c>
      <c r="AL81" s="485">
        <v>45941</v>
      </c>
      <c r="AM81" s="91">
        <f t="shared" si="75"/>
        <v>46671</v>
      </c>
      <c r="AN81" s="388">
        <v>45942</v>
      </c>
      <c r="AO81" s="90">
        <f>IF(ISBLANK(AN81),"",EDATE(AN81,24))-1</f>
        <v>46671</v>
      </c>
      <c r="AP81" s="285"/>
      <c r="AQ81" s="90" t="e">
        <f>IF(ISBLANK(AP81),"",EDATE(AP81,24))-1</f>
        <v>#VALUE!</v>
      </c>
      <c r="AR81" s="398"/>
      <c r="AS81" s="90" t="e">
        <f>IF(ISBLANK(AR81),"",EDATE(AR81,24))-1</f>
        <v>#VALUE!</v>
      </c>
      <c r="AT81" s="11"/>
      <c r="AU81" s="91" t="e">
        <f t="shared" si="73"/>
        <v>#VALUE!</v>
      </c>
      <c r="AV81" s="11"/>
      <c r="AW81" s="91" t="e">
        <f t="shared" si="57"/>
        <v>#VALUE!</v>
      </c>
      <c r="AX81" s="11"/>
      <c r="AY81" s="91" t="e">
        <f t="shared" si="58"/>
        <v>#VALUE!</v>
      </c>
      <c r="AZ81" s="11">
        <v>45949</v>
      </c>
      <c r="BA81" s="91">
        <f t="shared" si="59"/>
        <v>46678</v>
      </c>
      <c r="BB81" s="11"/>
      <c r="BC81" s="91" t="e">
        <f t="shared" si="60"/>
        <v>#VALUE!</v>
      </c>
      <c r="BD81" s="11"/>
      <c r="BE81" s="91" t="e">
        <f t="shared" si="61"/>
        <v>#VALUE!</v>
      </c>
      <c r="BF81" s="11" t="s">
        <v>232</v>
      </c>
      <c r="BG81" s="11" t="s">
        <v>232</v>
      </c>
      <c r="BH81" s="285">
        <v>45948</v>
      </c>
      <c r="BI81" s="90">
        <f>IF(ISBLANK(BH81),"",EDATE(BH81,24))-1</f>
        <v>46677</v>
      </c>
      <c r="BJ81" s="285" t="s">
        <v>232</v>
      </c>
      <c r="BK81" s="285" t="s">
        <v>232</v>
      </c>
      <c r="BL81" s="11"/>
      <c r="BM81" s="91" t="e">
        <f>IF(ISBLANK(BL81),"",EDATE(BL81,24))-1</f>
        <v>#VALUE!</v>
      </c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425" t="s">
        <v>232</v>
      </c>
      <c r="CF81" s="492">
        <v>46015</v>
      </c>
      <c r="CG81" s="425" t="s">
        <v>232</v>
      </c>
      <c r="CH81" s="425" t="s">
        <v>232</v>
      </c>
      <c r="CI81" s="11"/>
      <c r="CJ81" s="11"/>
      <c r="CK81" s="285"/>
      <c r="CL81" s="11" t="s">
        <v>232</v>
      </c>
      <c r="CM81" s="285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0"/>
      <c r="CY81" s="11"/>
    </row>
    <row r="82" spans="2:103" ht="75" customHeight="1">
      <c r="B82" s="462">
        <v>79</v>
      </c>
      <c r="C82" s="465" t="s">
        <v>496</v>
      </c>
      <c r="D82" s="385" t="s">
        <v>497</v>
      </c>
      <c r="E82" s="385" t="s">
        <v>498</v>
      </c>
      <c r="F82" s="385" t="s">
        <v>327</v>
      </c>
      <c r="G82" s="444" t="s">
        <v>232</v>
      </c>
      <c r="H82" s="290">
        <v>46062</v>
      </c>
      <c r="I82" s="90">
        <f>IF(ISBLANK(H82),"",EDATE(H82,24))-1</f>
        <v>46791</v>
      </c>
      <c r="J82" s="290">
        <v>46028</v>
      </c>
      <c r="K82" s="90">
        <f>IF(ISBLANK(J82),"",EDATE(J82,24))-1</f>
        <v>46757</v>
      </c>
      <c r="L82" s="290">
        <v>46058</v>
      </c>
      <c r="M82" s="90">
        <f>IF(ISBLANK(L82),"",EDATE(L82,24))-1</f>
        <v>46787</v>
      </c>
      <c r="N82" s="418">
        <v>46084</v>
      </c>
      <c r="O82" s="11">
        <f>IF(ISBLANK(N82),"",EDATE(N82,24))-1</f>
        <v>46814</v>
      </c>
      <c r="P82" s="91">
        <v>46084</v>
      </c>
      <c r="Q82" s="91">
        <f>IF(ISBLANK(P82),"",EDATE(P82,24))-1</f>
        <v>46814</v>
      </c>
      <c r="R82" s="18" t="s">
        <v>231</v>
      </c>
      <c r="S82" s="18" t="s">
        <v>231</v>
      </c>
      <c r="T82" s="91">
        <v>46086</v>
      </c>
      <c r="U82" s="91">
        <f>IF(ISBLANK(T82),"",EDATE(T82,24))-1</f>
        <v>46816</v>
      </c>
      <c r="V82" s="18">
        <v>46091</v>
      </c>
      <c r="W82" s="90">
        <f t="shared" ref="W82:W106" si="76">IF(ISBLANK(V82),"",EDATE(V82,24))-1</f>
        <v>46821</v>
      </c>
      <c r="X82" s="18"/>
      <c r="Y82" s="18"/>
      <c r="Z82" s="400"/>
      <c r="AA82" s="400"/>
      <c r="AB82" s="400"/>
      <c r="AC82" s="400"/>
      <c r="AD82" s="400"/>
      <c r="AE82" s="483"/>
      <c r="AF82" s="387">
        <v>46065</v>
      </c>
      <c r="AG82" s="90">
        <f>IF(ISBLANK(AF82),"",EDATE(AF82,24))-1</f>
        <v>46794</v>
      </c>
      <c r="AH82" s="90">
        <v>46056</v>
      </c>
      <c r="AI82" s="90">
        <f>IF(ISBLANK(AH82),"",EDATE(AH82,24))-1</f>
        <v>46785</v>
      </c>
      <c r="AJ82" s="90">
        <v>46063</v>
      </c>
      <c r="AK82" s="97">
        <f>IF(ISBLANK(AJ82),"",EDATE(AJ82,24))-1</f>
        <v>46792</v>
      </c>
      <c r="AL82" s="97">
        <v>46069</v>
      </c>
      <c r="AM82" s="91">
        <f t="shared" si="75"/>
        <v>46799</v>
      </c>
      <c r="AN82" s="395">
        <v>46032</v>
      </c>
      <c r="AO82" s="90">
        <f>IF(ISBLANK(AN82),"",EDATE(AN82,24))-1</f>
        <v>46761</v>
      </c>
      <c r="AP82" s="90">
        <v>46064</v>
      </c>
      <c r="AQ82" s="90">
        <f>IF(ISBLANK(AP82),"",EDATE(AP82,24))-1</f>
        <v>46793</v>
      </c>
      <c r="AR82" s="398"/>
      <c r="AS82" s="90" t="e">
        <f>IF(ISBLANK(AR82),"",EDATE(AR82,24))-1</f>
        <v>#VALUE!</v>
      </c>
      <c r="AT82" s="11"/>
      <c r="AU82" s="90" t="e">
        <f t="shared" si="73"/>
        <v>#VALUE!</v>
      </c>
      <c r="AV82" s="11"/>
      <c r="AW82" s="90" t="e">
        <f t="shared" si="57"/>
        <v>#VALUE!</v>
      </c>
      <c r="AX82" s="11"/>
      <c r="AY82" s="90" t="e">
        <f t="shared" si="58"/>
        <v>#VALUE!</v>
      </c>
      <c r="AZ82" s="11"/>
      <c r="BA82" s="90" t="e">
        <f t="shared" si="59"/>
        <v>#VALUE!</v>
      </c>
      <c r="BB82" s="11"/>
      <c r="BC82" s="90" t="e">
        <f t="shared" si="60"/>
        <v>#VALUE!</v>
      </c>
      <c r="BD82" s="11"/>
      <c r="BE82" s="90" t="e">
        <f t="shared" si="61"/>
        <v>#VALUE!</v>
      </c>
      <c r="BF82" s="11" t="s">
        <v>232</v>
      </c>
      <c r="BG82" s="11" t="s">
        <v>232</v>
      </c>
      <c r="BH82" s="285" t="s">
        <v>232</v>
      </c>
      <c r="BI82" s="285" t="s">
        <v>232</v>
      </c>
      <c r="BJ82" s="285" t="s">
        <v>232</v>
      </c>
      <c r="BK82" s="285" t="s">
        <v>232</v>
      </c>
      <c r="BL82" s="11">
        <v>46072</v>
      </c>
      <c r="BM82" s="91">
        <f>IF(ISBLANK(BL82),"",EDATE(BL82,24))-1</f>
        <v>46801</v>
      </c>
      <c r="BN82" s="11"/>
      <c r="BO82" s="11"/>
      <c r="BP82" s="11"/>
      <c r="BQ82" s="10">
        <v>46010</v>
      </c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401"/>
      <c r="CC82" s="11"/>
      <c r="CD82" s="11"/>
      <c r="CE82" s="314"/>
      <c r="CF82" s="314"/>
      <c r="CG82" s="314"/>
      <c r="CH82" s="209"/>
      <c r="CI82" s="11"/>
      <c r="CJ82" s="11"/>
      <c r="CK82" s="285"/>
      <c r="CL82" s="11" t="s">
        <v>232</v>
      </c>
      <c r="CM82" s="317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0"/>
      <c r="CY82" s="11"/>
    </row>
    <row r="83" spans="2:103" ht="61.15" customHeight="1">
      <c r="B83" s="462">
        <v>80</v>
      </c>
      <c r="C83" s="465" t="s">
        <v>796</v>
      </c>
      <c r="D83" s="467" t="s">
        <v>797</v>
      </c>
      <c r="E83" s="467" t="s">
        <v>798</v>
      </c>
      <c r="F83" s="467" t="s">
        <v>799</v>
      </c>
      <c r="G83" s="444"/>
      <c r="H83" s="290"/>
      <c r="I83" s="10" t="str">
        <f>IF(ISBLANK(H83),"",EDATE(H83,24))</f>
        <v/>
      </c>
      <c r="J83" s="290"/>
      <c r="K83" s="91"/>
      <c r="L83" s="319"/>
      <c r="M83" s="91" t="str">
        <f>IF(ISBLANK(L83),"",EDATE(L83,24))</f>
        <v/>
      </c>
      <c r="N83" s="418">
        <v>46084</v>
      </c>
      <c r="O83" s="11">
        <f>IF(ISBLANK(N83),"",EDATE(N83,24))-1</f>
        <v>46814</v>
      </c>
      <c r="P83" s="91">
        <v>46084</v>
      </c>
      <c r="Q83" s="91">
        <f>IF(ISBLANK(P83),"",EDATE(P83,24))-1</f>
        <v>46814</v>
      </c>
      <c r="R83" s="18"/>
      <c r="S83" s="18"/>
      <c r="T83" s="91">
        <v>46086</v>
      </c>
      <c r="U83" s="91">
        <f>IF(ISBLANK(T83),"",EDATE(T83,24))-1</f>
        <v>46816</v>
      </c>
      <c r="V83" s="18">
        <v>46091</v>
      </c>
      <c r="W83" s="90">
        <f t="shared" si="76"/>
        <v>46821</v>
      </c>
      <c r="X83" s="18"/>
      <c r="Y83" s="18"/>
      <c r="Z83" s="400"/>
      <c r="AA83" s="400"/>
      <c r="AB83" s="400"/>
      <c r="AC83" s="400"/>
      <c r="AD83" s="400"/>
      <c r="AE83" s="1"/>
      <c r="AF83" s="387"/>
      <c r="AG83" s="10" t="str">
        <f>IF(ISBLANK(AF83),"",EDATE(AF83,24))</f>
        <v/>
      </c>
      <c r="AH83" s="1"/>
      <c r="AI83" s="10" t="str">
        <f>IF(ISBLANK(AH83),"",EDATE(AH83,24))</f>
        <v/>
      </c>
      <c r="AJ83" s="1"/>
      <c r="AK83" s="1"/>
      <c r="AL83" s="38"/>
      <c r="AM83" s="91" t="str">
        <f t="shared" si="75"/>
        <v/>
      </c>
      <c r="AN83" s="388"/>
      <c r="AO83" s="10" t="str">
        <f>IF(ISBLANK(AJ83),"",EDATE(AJ83,24))</f>
        <v/>
      </c>
      <c r="AP83" s="90"/>
      <c r="AQ83" s="90"/>
      <c r="AR83" s="398"/>
      <c r="AS83" s="90"/>
      <c r="AT83" s="11"/>
      <c r="AU83" s="1"/>
      <c r="AV83" s="11"/>
      <c r="AW83" s="1"/>
      <c r="AX83" s="11"/>
      <c r="AY83" s="1"/>
      <c r="AZ83" s="11"/>
      <c r="BA83" s="1"/>
      <c r="BB83" s="11"/>
      <c r="BC83" s="1"/>
      <c r="BD83" s="11"/>
      <c r="BE83" s="1"/>
      <c r="BF83" s="11"/>
      <c r="BG83" s="11"/>
      <c r="BH83" s="285"/>
      <c r="BI83" s="285"/>
      <c r="BJ83" s="285"/>
      <c r="BK83" s="285"/>
      <c r="BL83" s="11"/>
      <c r="BM83" s="314"/>
      <c r="BN83" s="11"/>
      <c r="BO83" s="11"/>
      <c r="BP83" s="11"/>
      <c r="BQ83" s="10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401"/>
      <c r="CC83" s="11"/>
      <c r="CD83" s="11"/>
      <c r="CE83" s="314"/>
      <c r="CF83" s="314"/>
      <c r="CG83" s="314"/>
      <c r="CH83" s="209"/>
      <c r="CI83" s="11"/>
      <c r="CJ83" s="11"/>
      <c r="CK83" s="285"/>
      <c r="CL83" s="11"/>
      <c r="CM83" s="317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0"/>
      <c r="CY83" s="11"/>
    </row>
    <row r="84" spans="2:103" ht="61.15" customHeight="1">
      <c r="B84" s="462">
        <v>81</v>
      </c>
      <c r="C84" s="465" t="s">
        <v>499</v>
      </c>
      <c r="D84" s="385" t="s">
        <v>500</v>
      </c>
      <c r="E84" s="385" t="s">
        <v>501</v>
      </c>
      <c r="F84" s="385" t="s">
        <v>502</v>
      </c>
      <c r="G84" s="444"/>
      <c r="H84" s="290">
        <v>46062</v>
      </c>
      <c r="I84" s="10">
        <f>IF(ISBLANK(H84),"",EDATE(H84,24))-1</f>
        <v>46791</v>
      </c>
      <c r="J84" s="290">
        <v>46028</v>
      </c>
      <c r="K84" s="90">
        <f>IF(ISBLANK(J84),"",EDATE(J84,24))-1</f>
        <v>46757</v>
      </c>
      <c r="L84" s="319">
        <v>46058</v>
      </c>
      <c r="M84" s="91">
        <f t="shared" ref="M84:M89" si="77">IF(ISBLANK(L84),"",EDATE(L84,24))-1</f>
        <v>46787</v>
      </c>
      <c r="N84" s="418">
        <v>46084</v>
      </c>
      <c r="O84" s="11">
        <f>IF(ISBLANK(N84),"",EDATE(N84,24))-1</f>
        <v>46814</v>
      </c>
      <c r="P84" s="91">
        <v>46084</v>
      </c>
      <c r="Q84" s="91">
        <f>IF(ISBLANK(P84),"",EDATE(P84,24))-1</f>
        <v>46814</v>
      </c>
      <c r="R84" s="18"/>
      <c r="S84" s="18"/>
      <c r="T84" s="91">
        <v>46086</v>
      </c>
      <c r="U84" s="91">
        <f>IF(ISBLANK(T84),"",EDATE(T84,24))-1</f>
        <v>46816</v>
      </c>
      <c r="V84" s="18">
        <v>46091</v>
      </c>
      <c r="W84" s="90">
        <f t="shared" si="76"/>
        <v>46821</v>
      </c>
      <c r="X84" s="18"/>
      <c r="Y84" s="18"/>
      <c r="Z84" s="400"/>
      <c r="AA84" s="400"/>
      <c r="AB84" s="400"/>
      <c r="AC84" s="400"/>
      <c r="AD84" s="400"/>
      <c r="AE84" s="483"/>
      <c r="AF84" s="387">
        <v>46065</v>
      </c>
      <c r="AG84" s="90">
        <f t="shared" ref="AG84:AG89" si="78">IF(ISBLANK(AF84),"",EDATE(AF84,24))-1</f>
        <v>46794</v>
      </c>
      <c r="AH84" s="91">
        <v>46056</v>
      </c>
      <c r="AI84" s="90">
        <f>IF(ISBLANK(AH84),"",EDATE(AH84,24))-1</f>
        <v>46785</v>
      </c>
      <c r="AJ84" s="91">
        <v>46063</v>
      </c>
      <c r="AK84" s="91">
        <f t="shared" ref="AK84:AK89" si="79">IF(ISBLANK(AJ84),"",EDATE(AJ84,24))-1</f>
        <v>46792</v>
      </c>
      <c r="AL84" s="485"/>
      <c r="AM84" s="91" t="str">
        <f t="shared" si="75"/>
        <v/>
      </c>
      <c r="AN84" s="395">
        <v>46032</v>
      </c>
      <c r="AO84" s="90">
        <f>IF(ISBLANK(AN84),"",EDATE(AN84,24))-1</f>
        <v>46761</v>
      </c>
      <c r="AP84" s="285">
        <v>46064</v>
      </c>
      <c r="AQ84" s="90">
        <f>IF(ISBLANK(AP84),"",EDATE(AP84,24))-1</f>
        <v>46793</v>
      </c>
      <c r="AR84" s="398"/>
      <c r="AS84" s="90"/>
      <c r="AT84" s="11"/>
      <c r="AU84" s="91" t="e">
        <f>IF(ISBLANK(AT84),"",EDATE(AT84,24))-1</f>
        <v>#VALUE!</v>
      </c>
      <c r="AV84" s="11"/>
      <c r="AW84" s="91" t="e">
        <f>IF(ISBLANK(AV84),"",EDATE(AV84,24))-1</f>
        <v>#VALUE!</v>
      </c>
      <c r="AX84" s="11"/>
      <c r="AY84" s="91" t="e">
        <f>IF(ISBLANK(AX84),"",EDATE(AX84,24))-1</f>
        <v>#VALUE!</v>
      </c>
      <c r="AZ84" s="11"/>
      <c r="BA84" s="91" t="e">
        <f>IF(ISBLANK(AZ84),"",EDATE(AZ84,24))-1</f>
        <v>#VALUE!</v>
      </c>
      <c r="BB84" s="11"/>
      <c r="BC84" s="91" t="e">
        <f>IF(ISBLANK(BB84),"",EDATE(BB84,24))-1</f>
        <v>#VALUE!</v>
      </c>
      <c r="BD84" s="11"/>
      <c r="BE84" s="91" t="e">
        <f>IF(ISBLANK(BD84),"",EDATE(BD84,24))-1</f>
        <v>#VALUE!</v>
      </c>
      <c r="BF84" s="11"/>
      <c r="BG84" s="11"/>
      <c r="BH84" s="285"/>
      <c r="BI84" s="285"/>
      <c r="BJ84" s="285"/>
      <c r="BK84" s="285"/>
      <c r="BL84" s="11">
        <v>46072</v>
      </c>
      <c r="BM84" s="91">
        <f t="shared" ref="BM84:BM89" si="80">IF(ISBLANK(BL84),"",EDATE(BL84,24))-1</f>
        <v>46801</v>
      </c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401"/>
      <c r="CC84" s="11"/>
      <c r="CD84" s="11"/>
      <c r="CE84" s="314"/>
      <c r="CF84" s="314"/>
      <c r="CG84" s="314"/>
      <c r="CH84" s="209"/>
      <c r="CI84" s="11"/>
      <c r="CJ84" s="11"/>
      <c r="CK84" s="285"/>
      <c r="CL84" s="11"/>
      <c r="CM84" s="317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0"/>
      <c r="CY84" s="11"/>
    </row>
    <row r="85" spans="2:103" ht="50.25" customHeight="1">
      <c r="B85" s="462">
        <v>82</v>
      </c>
      <c r="C85" s="468" t="s">
        <v>503</v>
      </c>
      <c r="D85" s="385" t="s">
        <v>504</v>
      </c>
      <c r="E85" s="385" t="s">
        <v>505</v>
      </c>
      <c r="F85" s="411" t="s">
        <v>437</v>
      </c>
      <c r="G85" s="444"/>
      <c r="H85" s="290">
        <v>46062</v>
      </c>
      <c r="I85" s="1">
        <f>IF(ISBLANK(H85),"",EDATE(H85,24))</f>
        <v>46792</v>
      </c>
      <c r="J85" s="290"/>
      <c r="K85" s="91"/>
      <c r="L85" s="319">
        <v>46058</v>
      </c>
      <c r="M85" s="91">
        <f t="shared" si="77"/>
        <v>46787</v>
      </c>
      <c r="N85" s="418">
        <v>46084</v>
      </c>
      <c r="O85" s="11">
        <f>IF(ISBLANK(N85),"",EDATE(N85,24))-1</f>
        <v>46814</v>
      </c>
      <c r="P85" s="91">
        <v>46084</v>
      </c>
      <c r="Q85" s="91">
        <f>IF(ISBLANK(P85),"",EDATE(P85,24))-1</f>
        <v>46814</v>
      </c>
      <c r="R85" s="11"/>
      <c r="S85" s="11"/>
      <c r="T85" s="91">
        <v>46086</v>
      </c>
      <c r="U85" s="91">
        <f>IF(ISBLANK(T85),"",EDATE(T85,24))-1</f>
        <v>46816</v>
      </c>
      <c r="V85" s="11">
        <v>46091</v>
      </c>
      <c r="W85" s="90">
        <f t="shared" si="76"/>
        <v>46821</v>
      </c>
      <c r="X85" s="11"/>
      <c r="Y85" s="11"/>
      <c r="Z85" s="11"/>
      <c r="AA85" s="11"/>
      <c r="AB85" s="11"/>
      <c r="AC85" s="11"/>
      <c r="AD85" s="11"/>
      <c r="AE85" s="10"/>
      <c r="AF85" s="387">
        <v>46065</v>
      </c>
      <c r="AG85" s="90">
        <f t="shared" si="78"/>
        <v>46794</v>
      </c>
      <c r="AH85" s="91">
        <v>46056</v>
      </c>
      <c r="AI85" s="90">
        <f>IF(ISBLANK(AH85),"",EDATE(AH85,24))-1</f>
        <v>46785</v>
      </c>
      <c r="AJ85" s="91">
        <v>46063</v>
      </c>
      <c r="AK85" s="91">
        <f t="shared" si="79"/>
        <v>46792</v>
      </c>
      <c r="AL85" s="91">
        <v>46069</v>
      </c>
      <c r="AM85" s="91">
        <f t="shared" si="75"/>
        <v>46799</v>
      </c>
      <c r="AN85" s="388"/>
      <c r="AO85" s="10">
        <f>IF(ISBLANK(AJ85),"",EDATE(AJ85,24))</f>
        <v>46793</v>
      </c>
      <c r="AP85" s="90">
        <v>46064</v>
      </c>
      <c r="AQ85" s="90">
        <f>IF(ISBLANK(AP85),"",EDATE(AP85,24))-1</f>
        <v>46793</v>
      </c>
      <c r="AR85" s="398"/>
      <c r="AS85" s="90"/>
      <c r="AT85" s="11"/>
      <c r="AU85" s="91" t="e">
        <f>IF(ISBLANK(AT85),"",EDATE(AT85,24))-1</f>
        <v>#VALUE!</v>
      </c>
      <c r="AV85" s="11"/>
      <c r="AW85" s="91" t="e">
        <f>IF(ISBLANK(AV85),"",EDATE(AV85,24))-1</f>
        <v>#VALUE!</v>
      </c>
      <c r="AX85" s="11"/>
      <c r="AY85" s="91" t="e">
        <f>IF(ISBLANK(AX85),"",EDATE(AX85,24))-1</f>
        <v>#VALUE!</v>
      </c>
      <c r="AZ85" s="11"/>
      <c r="BA85" s="91" t="e">
        <f>IF(ISBLANK(AZ85),"",EDATE(AZ85,24))-1</f>
        <v>#VALUE!</v>
      </c>
      <c r="BB85" s="399"/>
      <c r="BC85" s="91" t="e">
        <f>IF(ISBLANK(BB85),"",EDATE(BB85,24))-1</f>
        <v>#VALUE!</v>
      </c>
      <c r="BD85" s="11"/>
      <c r="BE85" s="91" t="e">
        <f>IF(ISBLANK(BD85),"",EDATE(BD85,24))-1</f>
        <v>#VALUE!</v>
      </c>
      <c r="BF85" s="11"/>
      <c r="BG85" s="11"/>
      <c r="BH85" s="285"/>
      <c r="BI85" s="285"/>
      <c r="BJ85" s="285"/>
      <c r="BK85" s="285"/>
      <c r="BL85" s="11">
        <v>46072</v>
      </c>
      <c r="BM85" s="91">
        <f t="shared" si="80"/>
        <v>46801</v>
      </c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09"/>
      <c r="CF85" s="109"/>
      <c r="CG85" s="109"/>
      <c r="CH85" s="209"/>
      <c r="CI85" s="399"/>
      <c r="CJ85" s="11"/>
      <c r="CK85" s="285"/>
      <c r="CL85" s="11"/>
      <c r="CM85" s="285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0"/>
      <c r="CY85" s="11"/>
    </row>
    <row r="86" spans="2:103" ht="50.25" customHeight="1">
      <c r="B86" s="462">
        <v>83</v>
      </c>
      <c r="C86" s="465" t="s">
        <v>506</v>
      </c>
      <c r="D86" s="385" t="s">
        <v>100</v>
      </c>
      <c r="E86" s="385" t="s">
        <v>507</v>
      </c>
      <c r="F86" s="385" t="s">
        <v>339</v>
      </c>
      <c r="G86" s="444" t="s">
        <v>508</v>
      </c>
      <c r="H86" s="290">
        <v>46062</v>
      </c>
      <c r="I86" s="91">
        <f>IF(ISBLANK(H86),"",EDATE(H86,24))-1</f>
        <v>46791</v>
      </c>
      <c r="J86" s="290">
        <v>46028</v>
      </c>
      <c r="K86" s="91">
        <f>IF(ISBLANK(J86),"",EDATE(J86,24))-1</f>
        <v>46757</v>
      </c>
      <c r="L86" s="319">
        <v>46058</v>
      </c>
      <c r="M86" s="91">
        <f t="shared" si="77"/>
        <v>46787</v>
      </c>
      <c r="N86" s="405">
        <v>46084</v>
      </c>
      <c r="O86" s="11">
        <f>IF(ISBLANK(N86),"",EDATE(N86,24))-1</f>
        <v>46814</v>
      </c>
      <c r="P86" s="91">
        <v>46084</v>
      </c>
      <c r="Q86" s="91">
        <f>IF(ISBLANK(P86),"",EDATE(P86,24))-1</f>
        <v>46814</v>
      </c>
      <c r="R86" s="10"/>
      <c r="S86" s="10"/>
      <c r="T86" s="91">
        <v>46086</v>
      </c>
      <c r="U86" s="91">
        <f>IF(ISBLANK(T86),"",EDATE(T86,24))-1</f>
        <v>46816</v>
      </c>
      <c r="V86" s="10"/>
      <c r="W86" s="90" t="e">
        <f t="shared" si="76"/>
        <v>#VALUE!</v>
      </c>
      <c r="X86" s="10"/>
      <c r="Y86" s="10"/>
      <c r="Z86" s="10"/>
      <c r="AA86" s="10"/>
      <c r="AB86" s="10"/>
      <c r="AC86" s="10"/>
      <c r="AD86" s="10"/>
      <c r="AE86" s="10"/>
      <c r="AF86" s="387">
        <v>46065</v>
      </c>
      <c r="AG86" s="90">
        <f t="shared" si="78"/>
        <v>46794</v>
      </c>
      <c r="AH86" s="90">
        <v>46056</v>
      </c>
      <c r="AI86" s="90">
        <f>IF(ISBLANK(AH86),"",EDATE(AH86,24))-1</f>
        <v>46785</v>
      </c>
      <c r="AJ86" s="91">
        <v>46063</v>
      </c>
      <c r="AK86" s="91">
        <f t="shared" si="79"/>
        <v>46792</v>
      </c>
      <c r="AL86" s="91">
        <v>46069</v>
      </c>
      <c r="AM86" s="91">
        <f>IF(ISBLANK(AL86),"",EDATE(AL86,12))-1</f>
        <v>46433</v>
      </c>
      <c r="AN86" s="388">
        <v>46032</v>
      </c>
      <c r="AO86" s="90">
        <f>IF(ISBLANK(AN86),"",EDATE(AN86,24))-1</f>
        <v>46761</v>
      </c>
      <c r="AP86" s="90">
        <v>46064</v>
      </c>
      <c r="AQ86" s="90">
        <f>IF(ISBLANK(AP86),"",EDATE(AP86,24))-1</f>
        <v>46793</v>
      </c>
      <c r="AR86" s="238"/>
      <c r="AS86" s="90" t="e">
        <f>IF(ISBLANK(AR86),"",EDATE(AR86,24))-1</f>
        <v>#VALUE!</v>
      </c>
      <c r="AT86" s="10"/>
      <c r="AU86" s="91" t="e">
        <f>IF(ISBLANK(AT86),"",EDATE(AT86,24))-1</f>
        <v>#VALUE!</v>
      </c>
      <c r="AV86" s="10"/>
      <c r="AW86" s="91" t="e">
        <f>IF(ISBLANK(AV86),"",EDATE(AV86,24))-1</f>
        <v>#VALUE!</v>
      </c>
      <c r="AX86" s="10">
        <v>46073</v>
      </c>
      <c r="AY86" s="91">
        <f>IF(ISBLANK(AX86),"",EDATE(AX86,24))-1</f>
        <v>46802</v>
      </c>
      <c r="AZ86" s="10"/>
      <c r="BA86" s="91" t="e">
        <f>IF(ISBLANK(AZ86),"",EDATE(AZ86,24))-1</f>
        <v>#VALUE!</v>
      </c>
      <c r="BB86" s="317">
        <v>46077</v>
      </c>
      <c r="BC86" s="91">
        <f>IF(ISBLANK(BB86),"",EDATE(BB86,24))-1</f>
        <v>46806</v>
      </c>
      <c r="BD86" s="10"/>
      <c r="BE86" s="91" t="e">
        <f>IF(ISBLANK(BD86),"",EDATE(BD86,24))-1</f>
        <v>#VALUE!</v>
      </c>
      <c r="BF86" s="10"/>
      <c r="BG86" s="10"/>
      <c r="BH86" s="426"/>
      <c r="BI86" s="426"/>
      <c r="BJ86" s="426"/>
      <c r="BK86" s="426"/>
      <c r="BL86" s="11">
        <v>46072</v>
      </c>
      <c r="BM86" s="91">
        <f t="shared" si="80"/>
        <v>46801</v>
      </c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425" t="s">
        <v>232</v>
      </c>
      <c r="CF86" s="425" t="s">
        <v>232</v>
      </c>
      <c r="CG86" s="425" t="s">
        <v>232</v>
      </c>
      <c r="CH86" s="425" t="s">
        <v>232</v>
      </c>
      <c r="CI86" s="90">
        <v>46049</v>
      </c>
      <c r="CJ86" s="10"/>
      <c r="CK86" s="426"/>
      <c r="CL86" s="10"/>
      <c r="CM86" s="90"/>
      <c r="CN86" s="10"/>
      <c r="CO86" s="10"/>
      <c r="CP86" s="10"/>
      <c r="CQ86" s="10"/>
      <c r="CR86" s="10"/>
      <c r="CS86" s="10"/>
      <c r="CT86" s="10"/>
      <c r="CU86" s="10">
        <v>46070</v>
      </c>
      <c r="CV86" s="10"/>
      <c r="CW86" s="10"/>
      <c r="CX86" s="10"/>
      <c r="CY86" s="10"/>
    </row>
    <row r="87" spans="2:103" ht="50.25" customHeight="1">
      <c r="B87" s="462">
        <v>84</v>
      </c>
      <c r="C87" s="465" t="s">
        <v>509</v>
      </c>
      <c r="D87" s="385" t="s">
        <v>288</v>
      </c>
      <c r="E87" s="385" t="s">
        <v>510</v>
      </c>
      <c r="F87" s="385" t="s">
        <v>511</v>
      </c>
      <c r="G87" s="440" t="s">
        <v>512</v>
      </c>
      <c r="H87" s="290">
        <v>46062</v>
      </c>
      <c r="I87" s="90">
        <f>IF(ISBLANK(H87),"",EDATE(H87,24))-1</f>
        <v>46791</v>
      </c>
      <c r="J87" s="290">
        <v>46028</v>
      </c>
      <c r="K87" s="90">
        <f>IF(ISBLANK(J87),"",EDATE(J87,24))-1</f>
        <v>46757</v>
      </c>
      <c r="L87" s="290">
        <v>46058</v>
      </c>
      <c r="M87" s="90">
        <f t="shared" si="77"/>
        <v>46787</v>
      </c>
      <c r="N87" s="418" t="s">
        <v>231</v>
      </c>
      <c r="O87" s="11" t="s">
        <v>231</v>
      </c>
      <c r="P87" s="418" t="s">
        <v>231</v>
      </c>
      <c r="Q87" s="11" t="s">
        <v>231</v>
      </c>
      <c r="R87" s="17"/>
      <c r="S87" s="17"/>
      <c r="T87" s="91">
        <v>46086</v>
      </c>
      <c r="U87" s="91">
        <f>IF(ISBLANK(T87),"",EDATE(T87,24))-1</f>
        <v>46816</v>
      </c>
      <c r="V87" s="18" t="s">
        <v>231</v>
      </c>
      <c r="W87" s="90" t="e">
        <f t="shared" si="76"/>
        <v>#VALUE!</v>
      </c>
      <c r="X87" s="17"/>
      <c r="Y87" s="17"/>
      <c r="Z87" s="394"/>
      <c r="AA87" s="394"/>
      <c r="AB87" s="394"/>
      <c r="AC87" s="394"/>
      <c r="AD87" s="394"/>
      <c r="AE87" s="394"/>
      <c r="AF87" s="387">
        <v>46065</v>
      </c>
      <c r="AG87" s="90">
        <f t="shared" si="78"/>
        <v>46794</v>
      </c>
      <c r="AH87" s="10"/>
      <c r="AI87" s="90" t="e">
        <f>IF(ISBLANK(AH87),"",EDATE(AH87,24))-1</f>
        <v>#VALUE!</v>
      </c>
      <c r="AJ87" s="90">
        <v>46063</v>
      </c>
      <c r="AK87" s="97">
        <f t="shared" si="79"/>
        <v>46792</v>
      </c>
      <c r="AL87" s="97">
        <v>46069</v>
      </c>
      <c r="AM87" s="97">
        <f>IF(ISBLANK(AL87),"",EDATE(AL87,12))-1</f>
        <v>46433</v>
      </c>
      <c r="AN87" s="395">
        <v>46032</v>
      </c>
      <c r="AO87" s="90">
        <f>IF(ISBLANK(AN87),"",EDATE(AN87,24))-1</f>
        <v>46761</v>
      </c>
      <c r="AP87" s="90">
        <v>46064</v>
      </c>
      <c r="AQ87" s="90">
        <f>IF(ISBLANK(AP87),"",EDATE(AP87,24))-1</f>
        <v>46793</v>
      </c>
      <c r="AR87" s="238"/>
      <c r="AS87" s="90" t="e">
        <f>IF(ISBLANK(AR87),"",EDATE(AR87,24))-1</f>
        <v>#VALUE!</v>
      </c>
      <c r="AT87" s="10"/>
      <c r="AU87" s="90" t="e">
        <f>IF(ISBLANK(AT87),"",EDATE(AT87,24))-1</f>
        <v>#VALUE!</v>
      </c>
      <c r="AV87" s="10">
        <v>46078</v>
      </c>
      <c r="AW87" s="90">
        <f>IF(ISBLANK(AV87),"",EDATE(AV87,24))-1</f>
        <v>46807</v>
      </c>
      <c r="AX87" s="10"/>
      <c r="AY87" s="90" t="e">
        <f>IF(ISBLANK(AX87),"",EDATE(AX87,24))-1</f>
        <v>#VALUE!</v>
      </c>
      <c r="AZ87" s="10"/>
      <c r="BA87" s="90" t="e">
        <f>IF(ISBLANK(AZ87),"",EDATE(AZ87,24))-1</f>
        <v>#VALUE!</v>
      </c>
      <c r="BB87" s="285">
        <v>46077</v>
      </c>
      <c r="BC87" s="90">
        <f>IF(ISBLANK(BB87),"",EDATE(BB87,24))-1</f>
        <v>46806</v>
      </c>
      <c r="BD87" s="10"/>
      <c r="BE87" s="90" t="e">
        <f>IF(ISBLANK(BD87),"",EDATE(BD87,24))-1</f>
        <v>#VALUE!</v>
      </c>
      <c r="BF87" s="10"/>
      <c r="BG87" s="10"/>
      <c r="BH87" s="426"/>
      <c r="BI87" s="426"/>
      <c r="BJ87" s="426"/>
      <c r="BK87" s="426"/>
      <c r="BL87" s="11">
        <v>46072</v>
      </c>
      <c r="BM87" s="91">
        <f t="shared" si="80"/>
        <v>46801</v>
      </c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397"/>
      <c r="CC87" s="10"/>
      <c r="CD87" s="10"/>
      <c r="CE87" s="314"/>
      <c r="CF87" s="314"/>
      <c r="CG87" s="314"/>
      <c r="CH87" s="209"/>
      <c r="CI87" s="10"/>
      <c r="CJ87" s="10"/>
      <c r="CK87" s="426"/>
      <c r="CL87" s="10"/>
      <c r="CM87" s="91"/>
      <c r="CN87" s="10"/>
      <c r="CO87" s="10"/>
      <c r="CP87" s="10"/>
      <c r="CQ87" s="10"/>
      <c r="CR87" s="10"/>
      <c r="CS87" s="10"/>
      <c r="CT87" s="10"/>
      <c r="CU87" s="10">
        <v>46070</v>
      </c>
      <c r="CV87" s="10"/>
      <c r="CW87" s="10"/>
      <c r="CX87" s="10"/>
      <c r="CY87" s="10"/>
    </row>
    <row r="88" spans="2:103" ht="50.25" customHeight="1">
      <c r="B88" s="462">
        <v>86</v>
      </c>
      <c r="C88" s="468" t="s">
        <v>553</v>
      </c>
      <c r="D88" s="385" t="s">
        <v>554</v>
      </c>
      <c r="E88" s="385" t="s">
        <v>555</v>
      </c>
      <c r="F88" s="411" t="s">
        <v>455</v>
      </c>
      <c r="G88" s="439"/>
      <c r="H88" s="290">
        <v>46062</v>
      </c>
      <c r="I88" s="1">
        <f>IF(ISBLANK(H88),"",EDATE(H88,24))-1</f>
        <v>46791</v>
      </c>
      <c r="J88" s="290"/>
      <c r="K88" s="91"/>
      <c r="L88" s="319">
        <v>46058</v>
      </c>
      <c r="M88" s="91">
        <f t="shared" si="77"/>
        <v>46787</v>
      </c>
      <c r="N88" s="418">
        <v>46084</v>
      </c>
      <c r="O88" s="11">
        <f>IF(ISBLANK(N88),"",EDATE(N88,24))-1</f>
        <v>46814</v>
      </c>
      <c r="P88" s="91">
        <v>46084</v>
      </c>
      <c r="Q88" s="91">
        <f>IF(ISBLANK(P88),"",EDATE(P88,24))-1</f>
        <v>46814</v>
      </c>
      <c r="R88" s="10"/>
      <c r="S88" s="10"/>
      <c r="T88" s="91">
        <v>46086</v>
      </c>
      <c r="U88" s="91">
        <f>IF(ISBLANK(T88),"",EDATE(T88,24))-1</f>
        <v>46816</v>
      </c>
      <c r="V88" s="10"/>
      <c r="W88" s="90" t="e">
        <f t="shared" si="76"/>
        <v>#VALUE!</v>
      </c>
      <c r="X88" s="10"/>
      <c r="Y88" s="10"/>
      <c r="Z88" s="10"/>
      <c r="AA88" s="10"/>
      <c r="AB88" s="10"/>
      <c r="AC88" s="10"/>
      <c r="AD88" s="10"/>
      <c r="AE88" s="10"/>
      <c r="AF88" s="387">
        <v>46065</v>
      </c>
      <c r="AG88" s="10">
        <f t="shared" si="78"/>
        <v>46794</v>
      </c>
      <c r="AH88" s="90">
        <v>46056</v>
      </c>
      <c r="AI88" s="90">
        <f>IF(ISBLANK(AH88),"",EDATE(AH88,24))-1</f>
        <v>46785</v>
      </c>
      <c r="AJ88" s="91">
        <v>46063</v>
      </c>
      <c r="AK88" s="91">
        <f t="shared" si="79"/>
        <v>46792</v>
      </c>
      <c r="AL88" s="1"/>
      <c r="AM88" s="1"/>
      <c r="AN88" s="1"/>
      <c r="AO88" s="10">
        <f>IF(ISBLANK(AJ88),"",EDATE(AJ88,24))</f>
        <v>46793</v>
      </c>
      <c r="AP88" s="90">
        <v>46064</v>
      </c>
      <c r="AQ88" s="90">
        <f t="shared" ref="AQ88:AQ94" si="81">IF(ISBLANK(AP88),"",EDATE(AP88,24))-1</f>
        <v>46793</v>
      </c>
      <c r="AR88" s="238"/>
      <c r="AS88" s="90"/>
      <c r="AT88" s="10"/>
      <c r="AU88" s="91" t="e">
        <f t="shared" ref="AU88:AU110" si="82">IF(ISBLANK(AT88),"",EDATE(AT88,24))-1</f>
        <v>#VALUE!</v>
      </c>
      <c r="AV88" s="10"/>
      <c r="AW88" s="91" t="e">
        <f t="shared" ref="AW88:AW110" si="83">IF(ISBLANK(AV88),"",EDATE(AV88,24))-1</f>
        <v>#VALUE!</v>
      </c>
      <c r="AX88" s="10"/>
      <c r="AY88" s="91" t="e">
        <f t="shared" ref="AY88:AY110" si="84">IF(ISBLANK(AX88),"",EDATE(AX88,24))-1</f>
        <v>#VALUE!</v>
      </c>
      <c r="AZ88" s="10"/>
      <c r="BA88" s="91" t="e">
        <f t="shared" ref="BA88:BA110" si="85">IF(ISBLANK(AZ88),"",EDATE(AZ88,24))-1</f>
        <v>#VALUE!</v>
      </c>
      <c r="BB88" s="10"/>
      <c r="BC88" s="91" t="e">
        <f t="shared" ref="BC88:BC110" si="86">IF(ISBLANK(BB88),"",EDATE(BB88,24))-1</f>
        <v>#VALUE!</v>
      </c>
      <c r="BD88" s="10"/>
      <c r="BE88" s="91" t="e">
        <f t="shared" ref="BE88:BE110" si="87">IF(ISBLANK(BD88),"",EDATE(BD88,24))-1</f>
        <v>#VALUE!</v>
      </c>
      <c r="BF88" s="10"/>
      <c r="BG88" s="10"/>
      <c r="BH88" s="426"/>
      <c r="BI88" s="426"/>
      <c r="BJ88" s="426"/>
      <c r="BK88" s="426"/>
      <c r="BL88" s="11">
        <v>46072</v>
      </c>
      <c r="BM88" s="91">
        <f t="shared" si="80"/>
        <v>46801</v>
      </c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425" t="s">
        <v>232</v>
      </c>
      <c r="CF88" s="425" t="s">
        <v>232</v>
      </c>
      <c r="CG88" s="425" t="s">
        <v>232</v>
      </c>
      <c r="CH88" s="425" t="s">
        <v>232</v>
      </c>
      <c r="CI88" s="10"/>
      <c r="CJ88" s="10"/>
      <c r="CK88" s="426"/>
      <c r="CL88" s="10"/>
      <c r="CM88" s="9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</row>
    <row r="89" spans="2:103" ht="50.25" customHeight="1">
      <c r="B89" s="462">
        <v>87</v>
      </c>
      <c r="C89" s="465" t="s">
        <v>513</v>
      </c>
      <c r="D89" s="385" t="s">
        <v>514</v>
      </c>
      <c r="E89" s="385" t="s">
        <v>515</v>
      </c>
      <c r="F89" s="411" t="s">
        <v>455</v>
      </c>
      <c r="G89" s="440"/>
      <c r="H89" s="290">
        <v>46062</v>
      </c>
      <c r="I89" s="1">
        <f>IF(ISBLANK(H89),"",EDATE(H89,24))-1</f>
        <v>46791</v>
      </c>
      <c r="J89" s="290"/>
      <c r="K89" s="91"/>
      <c r="L89" s="319">
        <v>46058</v>
      </c>
      <c r="M89" s="91">
        <f t="shared" si="77"/>
        <v>46787</v>
      </c>
      <c r="N89" s="418">
        <v>46084</v>
      </c>
      <c r="O89" s="11">
        <f t="shared" ref="O89:O100" si="88">IF(ISBLANK(N89),"",EDATE(N89,24))-1</f>
        <v>46814</v>
      </c>
      <c r="P89" s="91">
        <v>46084</v>
      </c>
      <c r="Q89" s="91">
        <f>IF(ISBLANK(P89),"",EDATE(P89,24))-1</f>
        <v>46814</v>
      </c>
      <c r="R89" s="10"/>
      <c r="S89" s="10"/>
      <c r="T89" s="91">
        <v>46086</v>
      </c>
      <c r="U89" s="91">
        <f>IF(ISBLANK(T89),"",EDATE(T89,24))-1</f>
        <v>46816</v>
      </c>
      <c r="V89" s="11"/>
      <c r="W89" s="90" t="e">
        <f t="shared" si="76"/>
        <v>#VALUE!</v>
      </c>
      <c r="X89" s="10"/>
      <c r="Y89" s="10"/>
      <c r="Z89" s="10"/>
      <c r="AA89" s="10"/>
      <c r="AB89" s="10"/>
      <c r="AC89" s="10"/>
      <c r="AD89" s="10"/>
      <c r="AE89" s="10"/>
      <c r="AF89" s="387">
        <v>46065</v>
      </c>
      <c r="AG89" s="90">
        <f t="shared" si="78"/>
        <v>46794</v>
      </c>
      <c r="AH89" s="91">
        <v>46056</v>
      </c>
      <c r="AI89" s="90">
        <f>IF(ISBLANK(AH89),"",EDATE(AH89,24))-1</f>
        <v>46785</v>
      </c>
      <c r="AJ89" s="91">
        <v>46063</v>
      </c>
      <c r="AK89" s="91">
        <f t="shared" si="79"/>
        <v>46792</v>
      </c>
      <c r="AL89" s="10"/>
      <c r="AM89" s="10"/>
      <c r="AN89" s="388">
        <v>46032</v>
      </c>
      <c r="AO89" s="90">
        <f>IF(ISBLANK(AN89),"",EDATE(AN89,24))-1</f>
        <v>46761</v>
      </c>
      <c r="AP89" s="90">
        <v>46064</v>
      </c>
      <c r="AQ89" s="90">
        <f t="shared" si="81"/>
        <v>46793</v>
      </c>
      <c r="AR89" s="238"/>
      <c r="AS89" s="90"/>
      <c r="AT89" s="10"/>
      <c r="AU89" s="91" t="e">
        <f t="shared" si="82"/>
        <v>#VALUE!</v>
      </c>
      <c r="AV89" s="10"/>
      <c r="AW89" s="91" t="e">
        <f t="shared" si="83"/>
        <v>#VALUE!</v>
      </c>
      <c r="AX89" s="10"/>
      <c r="AY89" s="91" t="e">
        <f t="shared" si="84"/>
        <v>#VALUE!</v>
      </c>
      <c r="AZ89" s="10"/>
      <c r="BA89" s="91" t="e">
        <f t="shared" si="85"/>
        <v>#VALUE!</v>
      </c>
      <c r="BB89" s="10"/>
      <c r="BC89" s="91" t="e">
        <f t="shared" si="86"/>
        <v>#VALUE!</v>
      </c>
      <c r="BD89" s="10"/>
      <c r="BE89" s="91" t="e">
        <f t="shared" si="87"/>
        <v>#VALUE!</v>
      </c>
      <c r="BF89" s="10"/>
      <c r="BG89" s="10"/>
      <c r="BH89" s="426"/>
      <c r="BI89" s="426"/>
      <c r="BJ89" s="426"/>
      <c r="BK89" s="426"/>
      <c r="BL89" s="11">
        <v>46072</v>
      </c>
      <c r="BM89" s="91">
        <f t="shared" si="80"/>
        <v>46801</v>
      </c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9"/>
      <c r="CF89" s="109"/>
      <c r="CG89" s="109"/>
      <c r="CH89" s="209"/>
      <c r="CI89" s="10"/>
      <c r="CJ89" s="10"/>
      <c r="CK89" s="426"/>
      <c r="CL89" s="10"/>
      <c r="CM89" s="9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</row>
    <row r="90" spans="2:103" ht="50.25" customHeight="1">
      <c r="B90" s="462">
        <v>88</v>
      </c>
      <c r="C90" s="465" t="s">
        <v>570</v>
      </c>
      <c r="D90" s="385" t="s">
        <v>571</v>
      </c>
      <c r="E90" s="385" t="s">
        <v>572</v>
      </c>
      <c r="F90" s="411" t="s">
        <v>573</v>
      </c>
      <c r="G90" s="439"/>
      <c r="H90" s="290"/>
      <c r="I90" s="10" t="str">
        <f>IF(ISBLANK(H90),"",EDATE(H90,24))</f>
        <v/>
      </c>
      <c r="J90" s="290"/>
      <c r="K90" s="90"/>
      <c r="L90" s="319"/>
      <c r="M90" s="91" t="str">
        <f>IF(ISBLANK(L90),"",EDATE(L90,24))</f>
        <v/>
      </c>
      <c r="N90" s="418">
        <v>46084</v>
      </c>
      <c r="O90" s="11">
        <f t="shared" si="88"/>
        <v>46814</v>
      </c>
      <c r="P90" s="91">
        <v>46084</v>
      </c>
      <c r="Q90" s="91">
        <f>IF(ISBLANK(P90),"",EDATE(P90,24))-1</f>
        <v>46814</v>
      </c>
      <c r="R90" s="17"/>
      <c r="S90" s="17"/>
      <c r="T90" s="91">
        <v>46086</v>
      </c>
      <c r="U90" s="91">
        <f>IF(ISBLANK(T90),"",EDATE(T90,24))-1</f>
        <v>46816</v>
      </c>
      <c r="V90" s="17">
        <v>46091</v>
      </c>
      <c r="W90" s="90">
        <f t="shared" si="76"/>
        <v>46821</v>
      </c>
      <c r="X90" s="17"/>
      <c r="Y90" s="17"/>
      <c r="Z90" s="394"/>
      <c r="AA90" s="394"/>
      <c r="AB90" s="394"/>
      <c r="AC90" s="394"/>
      <c r="AD90" s="394"/>
      <c r="AE90" s="394"/>
      <c r="AF90" s="387"/>
      <c r="AG90" s="10" t="str">
        <f>IF(ISBLANK(AF90),"",EDATE(AF90,24))</f>
        <v/>
      </c>
      <c r="AH90" s="1"/>
      <c r="AI90" s="10" t="str">
        <f>IF(ISBLANK(AH90),"",EDATE(AH90,24))</f>
        <v/>
      </c>
      <c r="AJ90" s="1"/>
      <c r="AK90" s="1"/>
      <c r="AL90" s="38"/>
      <c r="AM90" s="38"/>
      <c r="AN90" s="10"/>
      <c r="AO90" s="10" t="str">
        <f>IF(ISBLANK(AJ90),"",EDATE(AJ90,24))</f>
        <v/>
      </c>
      <c r="AP90" s="90">
        <v>46064</v>
      </c>
      <c r="AQ90" s="90">
        <f t="shared" si="81"/>
        <v>46793</v>
      </c>
      <c r="AR90" s="238"/>
      <c r="AS90" s="90"/>
      <c r="AT90" s="10"/>
      <c r="AU90" s="91" t="e">
        <f t="shared" si="82"/>
        <v>#VALUE!</v>
      </c>
      <c r="AV90" s="10"/>
      <c r="AW90" s="91" t="e">
        <f t="shared" si="83"/>
        <v>#VALUE!</v>
      </c>
      <c r="AX90" s="10"/>
      <c r="AY90" s="91" t="e">
        <f t="shared" si="84"/>
        <v>#VALUE!</v>
      </c>
      <c r="AZ90" s="10"/>
      <c r="BA90" s="91" t="e">
        <f t="shared" si="85"/>
        <v>#VALUE!</v>
      </c>
      <c r="BB90" s="10"/>
      <c r="BC90" s="91" t="e">
        <f t="shared" si="86"/>
        <v>#VALUE!</v>
      </c>
      <c r="BD90" s="10"/>
      <c r="BE90" s="91" t="e">
        <f t="shared" si="87"/>
        <v>#VALUE!</v>
      </c>
      <c r="BF90" s="10"/>
      <c r="BG90" s="10"/>
      <c r="BH90" s="426"/>
      <c r="BI90" s="426"/>
      <c r="BJ90" s="426"/>
      <c r="BK90" s="426"/>
      <c r="BL90" s="10"/>
      <c r="BM90" s="91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397"/>
      <c r="CC90" s="10"/>
      <c r="CD90" s="10"/>
      <c r="CE90" s="70" t="s">
        <v>232</v>
      </c>
      <c r="CF90" s="70" t="s">
        <v>232</v>
      </c>
      <c r="CG90" s="70" t="s">
        <v>232</v>
      </c>
      <c r="CH90" s="425" t="s">
        <v>232</v>
      </c>
      <c r="CI90" s="10"/>
      <c r="CJ90" s="10"/>
      <c r="CK90" s="426"/>
      <c r="CL90" s="10"/>
      <c r="CM90" s="91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</row>
    <row r="91" spans="2:103" ht="50.25" customHeight="1">
      <c r="B91" s="462">
        <v>89</v>
      </c>
      <c r="C91" s="465" t="s">
        <v>574</v>
      </c>
      <c r="D91" s="385" t="s">
        <v>575</v>
      </c>
      <c r="E91" s="385" t="s">
        <v>576</v>
      </c>
      <c r="F91" s="411"/>
      <c r="G91" s="439"/>
      <c r="H91" s="290"/>
      <c r="I91" s="10" t="str">
        <f>IF(ISBLANK(H91),"",EDATE(H91,24))</f>
        <v/>
      </c>
      <c r="J91" s="290"/>
      <c r="K91" s="90"/>
      <c r="L91" s="319"/>
      <c r="M91" s="91" t="str">
        <f>IF(ISBLANK(L91),"",EDATE(L91,24))</f>
        <v/>
      </c>
      <c r="N91" s="418">
        <v>46084</v>
      </c>
      <c r="O91" s="11">
        <f t="shared" si="88"/>
        <v>46814</v>
      </c>
      <c r="P91" s="91">
        <v>46084</v>
      </c>
      <c r="Q91" s="91">
        <f>IF(ISBLANK(P91),"",EDATE(P91,24))-1</f>
        <v>46814</v>
      </c>
      <c r="R91" s="17"/>
      <c r="S91" s="17"/>
      <c r="T91" s="91">
        <v>46086</v>
      </c>
      <c r="U91" s="91">
        <f>IF(ISBLANK(T91),"",EDATE(T91,24))-1</f>
        <v>46816</v>
      </c>
      <c r="V91" s="17">
        <v>46091</v>
      </c>
      <c r="W91" s="90">
        <f t="shared" si="76"/>
        <v>46821</v>
      </c>
      <c r="X91" s="17"/>
      <c r="Y91" s="17"/>
      <c r="Z91" s="394"/>
      <c r="AA91" s="394"/>
      <c r="AB91" s="394"/>
      <c r="AC91" s="394"/>
      <c r="AD91" s="394"/>
      <c r="AE91" s="394"/>
      <c r="AF91" s="387"/>
      <c r="AG91" s="10" t="str">
        <f>IF(ISBLANK(AF91),"",EDATE(AF91,24))</f>
        <v/>
      </c>
      <c r="AH91" s="1"/>
      <c r="AI91" s="10" t="str">
        <f>IF(ISBLANK(AH91),"",EDATE(AH91,24))</f>
        <v/>
      </c>
      <c r="AJ91" s="1"/>
      <c r="AK91" s="1"/>
      <c r="AL91" s="38"/>
      <c r="AM91" s="38"/>
      <c r="AN91" s="38"/>
      <c r="AO91" s="10" t="str">
        <f>IF(ISBLANK(AJ91),"",EDATE(AJ91,24))</f>
        <v/>
      </c>
      <c r="AP91" s="90">
        <v>46064</v>
      </c>
      <c r="AQ91" s="90">
        <f t="shared" si="81"/>
        <v>46793</v>
      </c>
      <c r="AR91" s="238"/>
      <c r="AS91" s="90"/>
      <c r="AT91" s="10"/>
      <c r="AU91" s="91" t="e">
        <f t="shared" si="82"/>
        <v>#VALUE!</v>
      </c>
      <c r="AV91" s="10"/>
      <c r="AW91" s="91" t="e">
        <f t="shared" si="83"/>
        <v>#VALUE!</v>
      </c>
      <c r="AX91" s="10"/>
      <c r="AY91" s="91" t="e">
        <f t="shared" si="84"/>
        <v>#VALUE!</v>
      </c>
      <c r="AZ91" s="10"/>
      <c r="BA91" s="91" t="e">
        <f t="shared" si="85"/>
        <v>#VALUE!</v>
      </c>
      <c r="BB91" s="10"/>
      <c r="BC91" s="91" t="e">
        <f t="shared" si="86"/>
        <v>#VALUE!</v>
      </c>
      <c r="BD91" s="10"/>
      <c r="BE91" s="91" t="e">
        <f t="shared" si="87"/>
        <v>#VALUE!</v>
      </c>
      <c r="BF91" s="10"/>
      <c r="BG91" s="10"/>
      <c r="BH91" s="426"/>
      <c r="BI91" s="426"/>
      <c r="BJ91" s="426"/>
      <c r="BK91" s="426"/>
      <c r="BL91" s="10"/>
      <c r="BM91" s="91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397"/>
      <c r="CC91" s="10"/>
      <c r="CD91" s="10"/>
      <c r="CE91" s="70" t="s">
        <v>232</v>
      </c>
      <c r="CF91" s="70" t="s">
        <v>232</v>
      </c>
      <c r="CG91" s="70" t="s">
        <v>232</v>
      </c>
      <c r="CH91" s="425" t="s">
        <v>232</v>
      </c>
      <c r="CI91" s="10"/>
      <c r="CJ91" s="10"/>
      <c r="CK91" s="426"/>
      <c r="CL91" s="10"/>
      <c r="CM91" s="91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</row>
    <row r="92" spans="2:103" ht="50.25" customHeight="1">
      <c r="B92" s="462">
        <v>90</v>
      </c>
      <c r="C92" s="465" t="s">
        <v>517</v>
      </c>
      <c r="D92" s="385" t="s">
        <v>518</v>
      </c>
      <c r="E92" s="385" t="s">
        <v>519</v>
      </c>
      <c r="F92" s="411" t="s">
        <v>418</v>
      </c>
      <c r="G92" s="440" t="s">
        <v>232</v>
      </c>
      <c r="H92" s="290">
        <v>46062</v>
      </c>
      <c r="I92" s="91">
        <f>IF(ISBLANK(H92),"",EDATE(H92,24))-1</f>
        <v>46791</v>
      </c>
      <c r="J92" s="290"/>
      <c r="K92" s="91" t="e">
        <f>IF(ISBLANK(J92),"",EDATE(J92,24))-1</f>
        <v>#VALUE!</v>
      </c>
      <c r="L92" s="319">
        <v>46058</v>
      </c>
      <c r="M92" s="91">
        <f t="shared" ref="M92:M99" si="89">IF(ISBLANK(L92),"",EDATE(L92,24))-1</f>
        <v>46787</v>
      </c>
      <c r="N92" s="418">
        <v>46084</v>
      </c>
      <c r="O92" s="11">
        <f t="shared" si="88"/>
        <v>46814</v>
      </c>
      <c r="P92" s="91">
        <v>46084</v>
      </c>
      <c r="Q92" s="91">
        <f>IF(ISBLANK(P92),"",EDATE(P92,24))-1</f>
        <v>46814</v>
      </c>
      <c r="R92" s="10"/>
      <c r="S92" s="10"/>
      <c r="T92" s="91">
        <v>46086</v>
      </c>
      <c r="U92" s="91">
        <f>IF(ISBLANK(T92),"",EDATE(T92,24))-1</f>
        <v>46816</v>
      </c>
      <c r="V92" s="10">
        <v>46091</v>
      </c>
      <c r="W92" s="90">
        <f t="shared" si="76"/>
        <v>46821</v>
      </c>
      <c r="X92" s="10"/>
      <c r="Y92" s="10"/>
      <c r="Z92" s="10"/>
      <c r="AA92" s="10"/>
      <c r="AB92" s="10"/>
      <c r="AC92" s="10"/>
      <c r="AD92" s="10"/>
      <c r="AE92" s="10"/>
      <c r="AF92" s="387">
        <v>46065</v>
      </c>
      <c r="AG92" s="90">
        <f>IF(ISBLANK(AF92),"",EDATE(AF92,24))-1</f>
        <v>46794</v>
      </c>
      <c r="AH92" s="91">
        <v>46056</v>
      </c>
      <c r="AI92" s="90">
        <f t="shared" ref="AI92:AI99" si="90">IF(ISBLANK(AH92),"",EDATE(AH92,24))-1</f>
        <v>46785</v>
      </c>
      <c r="AJ92" s="91">
        <v>46063</v>
      </c>
      <c r="AK92" s="91">
        <f t="shared" ref="AK92:AK99" si="91">IF(ISBLANK(AJ92),"",EDATE(AJ92,24))-1</f>
        <v>46792</v>
      </c>
      <c r="AL92" s="90">
        <v>46069</v>
      </c>
      <c r="AM92" s="90">
        <f>IF(ISBLANK(AL92),"",EDATE(AL92,12))-1</f>
        <v>46433</v>
      </c>
      <c r="AN92" s="90">
        <f>IF(ISBLANK(AM92),"",EDATE(AM92,24))</f>
        <v>47164</v>
      </c>
      <c r="AO92" s="90">
        <f>IF(ISBLANK(AN92),"",EDATE(AN92,24))-1</f>
        <v>47893</v>
      </c>
      <c r="AP92" s="90">
        <v>46064</v>
      </c>
      <c r="AQ92" s="90">
        <f t="shared" si="81"/>
        <v>46793</v>
      </c>
      <c r="AR92" s="238"/>
      <c r="AS92" s="90" t="e">
        <f>IF(ISBLANK(AR92),"",EDATE(AR92,24))-1</f>
        <v>#VALUE!</v>
      </c>
      <c r="AT92" s="10"/>
      <c r="AU92" s="91" t="e">
        <f t="shared" si="82"/>
        <v>#VALUE!</v>
      </c>
      <c r="AV92" s="10"/>
      <c r="AW92" s="91" t="e">
        <f t="shared" si="83"/>
        <v>#VALUE!</v>
      </c>
      <c r="AX92" s="10"/>
      <c r="AY92" s="91" t="e">
        <f t="shared" si="84"/>
        <v>#VALUE!</v>
      </c>
      <c r="AZ92" s="10"/>
      <c r="BA92" s="91" t="e">
        <f t="shared" si="85"/>
        <v>#VALUE!</v>
      </c>
      <c r="BB92" s="10"/>
      <c r="BC92" s="91" t="e">
        <f t="shared" si="86"/>
        <v>#VALUE!</v>
      </c>
      <c r="BD92" s="10"/>
      <c r="BE92" s="91" t="e">
        <f t="shared" si="87"/>
        <v>#VALUE!</v>
      </c>
      <c r="BF92" s="10"/>
      <c r="BG92" s="10"/>
      <c r="BH92" s="426"/>
      <c r="BI92" s="426"/>
      <c r="BJ92" s="426"/>
      <c r="BK92" s="426"/>
      <c r="BL92" s="10"/>
      <c r="BM92" s="91" t="e">
        <f t="shared" ref="BM92:BM105" si="92">IF(ISBLANK(BL92),"",EDATE(BL92,24))-1</f>
        <v>#VALUE!</v>
      </c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425" t="s">
        <v>232</v>
      </c>
      <c r="CF92" s="425" t="s">
        <v>232</v>
      </c>
      <c r="CG92" s="425" t="s">
        <v>232</v>
      </c>
      <c r="CH92" s="425" t="s">
        <v>232</v>
      </c>
      <c r="CI92" s="10"/>
      <c r="CJ92" s="10"/>
      <c r="CK92" s="426"/>
      <c r="CL92" s="10"/>
      <c r="CM92" s="9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</row>
    <row r="93" spans="2:103" ht="50.25" customHeight="1">
      <c r="B93" s="462">
        <v>91</v>
      </c>
      <c r="C93" s="465" t="s">
        <v>520</v>
      </c>
      <c r="D93" s="385" t="s">
        <v>521</v>
      </c>
      <c r="E93" s="385" t="s">
        <v>522</v>
      </c>
      <c r="F93" s="411" t="s">
        <v>253</v>
      </c>
      <c r="G93" s="440" t="s">
        <v>232</v>
      </c>
      <c r="H93" s="290">
        <v>46062</v>
      </c>
      <c r="I93" s="90">
        <f>IF(ISBLANK(H93),"",EDATE(H93,24))-1</f>
        <v>46791</v>
      </c>
      <c r="J93" s="290"/>
      <c r="K93" s="90" t="e">
        <f>IF(ISBLANK(J93),"",EDATE(J93,24))-1</f>
        <v>#VALUE!</v>
      </c>
      <c r="L93" s="319">
        <v>46058</v>
      </c>
      <c r="M93" s="91">
        <f t="shared" si="89"/>
        <v>46787</v>
      </c>
      <c r="N93" s="418">
        <v>46084</v>
      </c>
      <c r="O93" s="11">
        <f t="shared" si="88"/>
        <v>46814</v>
      </c>
      <c r="P93" s="91">
        <v>46084</v>
      </c>
      <c r="Q93" s="91">
        <f>IF(ISBLANK(P93),"",EDATE(P93,24))-1</f>
        <v>46814</v>
      </c>
      <c r="R93" s="17"/>
      <c r="S93" s="17"/>
      <c r="T93" s="91">
        <v>46086</v>
      </c>
      <c r="U93" s="91">
        <f>IF(ISBLANK(T93),"",EDATE(T93,24))-1</f>
        <v>46816</v>
      </c>
      <c r="V93" s="17">
        <v>46091</v>
      </c>
      <c r="W93" s="90">
        <f t="shared" si="76"/>
        <v>46821</v>
      </c>
      <c r="X93" s="17"/>
      <c r="Y93" s="17"/>
      <c r="Z93" s="394"/>
      <c r="AA93" s="394"/>
      <c r="AB93" s="394"/>
      <c r="AC93" s="394"/>
      <c r="AD93" s="394"/>
      <c r="AE93" s="394"/>
      <c r="AF93" s="387">
        <v>46065</v>
      </c>
      <c r="AG93" s="90">
        <f>IF(ISBLANK(AF93),"",EDATE(AF93,24))-1</f>
        <v>46794</v>
      </c>
      <c r="AH93" s="91">
        <v>46056</v>
      </c>
      <c r="AI93" s="90">
        <f t="shared" si="90"/>
        <v>46785</v>
      </c>
      <c r="AJ93" s="91">
        <v>46063</v>
      </c>
      <c r="AK93" s="91">
        <f t="shared" si="91"/>
        <v>46792</v>
      </c>
      <c r="AL93" s="38"/>
      <c r="AM93" s="97" t="e">
        <f>IF(ISBLANK(AL93),"",EDATE(AL93,12))-1</f>
        <v>#VALUE!</v>
      </c>
      <c r="AN93" s="395">
        <v>46032</v>
      </c>
      <c r="AO93" s="90">
        <f>IF(ISBLANK(AN93),"",EDATE(AN93,24))-1</f>
        <v>46761</v>
      </c>
      <c r="AP93" s="90">
        <v>46064</v>
      </c>
      <c r="AQ93" s="90">
        <f t="shared" si="81"/>
        <v>46793</v>
      </c>
      <c r="AR93" s="238"/>
      <c r="AS93" s="90" t="e">
        <f>IF(ISBLANK(AR93),"",EDATE(AR93,24))-1</f>
        <v>#VALUE!</v>
      </c>
      <c r="AT93" s="10"/>
      <c r="AU93" s="91" t="e">
        <f t="shared" si="82"/>
        <v>#VALUE!</v>
      </c>
      <c r="AV93" s="10"/>
      <c r="AW93" s="91" t="e">
        <f t="shared" si="83"/>
        <v>#VALUE!</v>
      </c>
      <c r="AX93" s="10"/>
      <c r="AY93" s="91" t="e">
        <f t="shared" si="84"/>
        <v>#VALUE!</v>
      </c>
      <c r="AZ93" s="10"/>
      <c r="BA93" s="91" t="e">
        <f t="shared" si="85"/>
        <v>#VALUE!</v>
      </c>
      <c r="BB93" s="10"/>
      <c r="BC93" s="91" t="e">
        <f t="shared" si="86"/>
        <v>#VALUE!</v>
      </c>
      <c r="BD93" s="10"/>
      <c r="BE93" s="91" t="e">
        <f t="shared" si="87"/>
        <v>#VALUE!</v>
      </c>
      <c r="BF93" s="10"/>
      <c r="BG93" s="10"/>
      <c r="BH93" s="426"/>
      <c r="BI93" s="426"/>
      <c r="BJ93" s="426"/>
      <c r="BK93" s="426"/>
      <c r="BL93" s="11">
        <v>46072</v>
      </c>
      <c r="BM93" s="91">
        <f t="shared" si="92"/>
        <v>46801</v>
      </c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397"/>
      <c r="CC93" s="10"/>
      <c r="CD93" s="10"/>
      <c r="CE93" s="70" t="s">
        <v>232</v>
      </c>
      <c r="CF93" s="70" t="s">
        <v>232</v>
      </c>
      <c r="CG93" s="70" t="s">
        <v>232</v>
      </c>
      <c r="CH93" s="425" t="s">
        <v>232</v>
      </c>
      <c r="CI93" s="10"/>
      <c r="CJ93" s="10"/>
      <c r="CK93" s="426"/>
      <c r="CL93" s="10"/>
      <c r="CM93" s="91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</row>
    <row r="94" spans="2:103" ht="50.25" customHeight="1">
      <c r="B94" s="462">
        <v>92</v>
      </c>
      <c r="C94" s="465" t="s">
        <v>523</v>
      </c>
      <c r="D94" s="385" t="s">
        <v>524</v>
      </c>
      <c r="E94" s="385" t="s">
        <v>525</v>
      </c>
      <c r="F94" s="385" t="s">
        <v>253</v>
      </c>
      <c r="G94" s="440"/>
      <c r="H94" s="290">
        <v>46062</v>
      </c>
      <c r="I94" s="10">
        <f>IF(ISBLANK(H94),"",EDATE(H94,24))-1</f>
        <v>46791</v>
      </c>
      <c r="J94" s="290"/>
      <c r="K94" s="90"/>
      <c r="L94" s="319">
        <v>46058</v>
      </c>
      <c r="M94" s="91">
        <f t="shared" si="89"/>
        <v>46787</v>
      </c>
      <c r="N94" s="418">
        <v>46084</v>
      </c>
      <c r="O94" s="11">
        <f t="shared" si="88"/>
        <v>46814</v>
      </c>
      <c r="P94" s="91">
        <v>46084</v>
      </c>
      <c r="Q94" s="91">
        <f>IF(ISBLANK(P94),"",EDATE(P94,24))-1</f>
        <v>46814</v>
      </c>
      <c r="R94" s="17"/>
      <c r="S94" s="17"/>
      <c r="T94" s="91">
        <v>46086</v>
      </c>
      <c r="U94" s="91">
        <f>IF(ISBLANK(T94),"",EDATE(T94,24))-1</f>
        <v>46816</v>
      </c>
      <c r="V94" s="17">
        <v>46091</v>
      </c>
      <c r="W94" s="90">
        <f t="shared" si="76"/>
        <v>46821</v>
      </c>
      <c r="X94" s="17"/>
      <c r="Y94" s="17"/>
      <c r="Z94" s="394"/>
      <c r="AA94" s="394"/>
      <c r="AB94" s="394"/>
      <c r="AC94" s="394"/>
      <c r="AD94" s="394"/>
      <c r="AE94" s="394"/>
      <c r="AF94" s="387">
        <v>46065</v>
      </c>
      <c r="AG94" s="90">
        <f>IF(ISBLANK(AF94),"",EDATE(AF94,24))-1</f>
        <v>46794</v>
      </c>
      <c r="AH94" s="91">
        <v>46056</v>
      </c>
      <c r="AI94" s="90">
        <f t="shared" si="90"/>
        <v>46785</v>
      </c>
      <c r="AJ94" s="91">
        <v>46063</v>
      </c>
      <c r="AK94" s="91">
        <f t="shared" si="91"/>
        <v>46792</v>
      </c>
      <c r="AL94" s="38"/>
      <c r="AM94" s="38"/>
      <c r="AN94" s="395">
        <v>46032</v>
      </c>
      <c r="AO94" s="90">
        <f>IF(ISBLANK(AN94),"",EDATE(AN94,24))-1</f>
        <v>46761</v>
      </c>
      <c r="AP94" s="90">
        <v>46064</v>
      </c>
      <c r="AQ94" s="90">
        <f t="shared" si="81"/>
        <v>46793</v>
      </c>
      <c r="AR94" s="238"/>
      <c r="AS94" s="90"/>
      <c r="AT94" s="10"/>
      <c r="AU94" s="91" t="e">
        <f t="shared" si="82"/>
        <v>#VALUE!</v>
      </c>
      <c r="AV94" s="10"/>
      <c r="AW94" s="91" t="e">
        <f t="shared" si="83"/>
        <v>#VALUE!</v>
      </c>
      <c r="AX94" s="10"/>
      <c r="AY94" s="91" t="e">
        <f t="shared" si="84"/>
        <v>#VALUE!</v>
      </c>
      <c r="AZ94" s="10"/>
      <c r="BA94" s="91" t="e">
        <f t="shared" si="85"/>
        <v>#VALUE!</v>
      </c>
      <c r="BB94" s="10"/>
      <c r="BC94" s="91" t="e">
        <f t="shared" si="86"/>
        <v>#VALUE!</v>
      </c>
      <c r="BD94" s="10"/>
      <c r="BE94" s="91" t="e">
        <f t="shared" si="87"/>
        <v>#VALUE!</v>
      </c>
      <c r="BF94" s="10"/>
      <c r="BG94" s="10"/>
      <c r="BH94" s="426"/>
      <c r="BI94" s="426"/>
      <c r="BJ94" s="426"/>
      <c r="BK94" s="426"/>
      <c r="BL94" s="11">
        <v>46072</v>
      </c>
      <c r="BM94" s="91">
        <f t="shared" si="92"/>
        <v>46801</v>
      </c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397"/>
      <c r="CC94" s="10"/>
      <c r="CD94" s="10"/>
      <c r="CE94" s="314"/>
      <c r="CF94" s="314"/>
      <c r="CG94" s="314"/>
      <c r="CH94" s="209"/>
      <c r="CI94" s="10"/>
      <c r="CJ94" s="10"/>
      <c r="CK94" s="426"/>
      <c r="CL94" s="10"/>
      <c r="CM94" s="91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</row>
    <row r="95" spans="2:103" ht="50.25" customHeight="1">
      <c r="B95" s="462">
        <v>93</v>
      </c>
      <c r="C95" s="465" t="s">
        <v>526</v>
      </c>
      <c r="D95" s="385" t="s">
        <v>527</v>
      </c>
      <c r="E95" s="385" t="s">
        <v>528</v>
      </c>
      <c r="F95" s="385" t="s">
        <v>253</v>
      </c>
      <c r="G95" s="440"/>
      <c r="H95" s="290">
        <v>46062</v>
      </c>
      <c r="I95" s="10">
        <f>IF(ISBLANK(H95),"",EDATE(H95,24))-1</f>
        <v>46791</v>
      </c>
      <c r="J95" s="290"/>
      <c r="K95" s="90"/>
      <c r="L95" s="319">
        <v>46058</v>
      </c>
      <c r="M95" s="91">
        <f t="shared" si="89"/>
        <v>46787</v>
      </c>
      <c r="N95" s="418">
        <v>46084</v>
      </c>
      <c r="O95" s="11">
        <f t="shared" si="88"/>
        <v>46814</v>
      </c>
      <c r="P95" s="91">
        <v>46084</v>
      </c>
      <c r="Q95" s="91">
        <f>IF(ISBLANK(P95),"",EDATE(P95,24))-1</f>
        <v>46814</v>
      </c>
      <c r="R95" s="17"/>
      <c r="S95" s="17"/>
      <c r="T95" s="91">
        <v>46086</v>
      </c>
      <c r="U95" s="91">
        <f>IF(ISBLANK(T95),"",EDATE(T95,24))-1</f>
        <v>46816</v>
      </c>
      <c r="V95" s="17">
        <v>46091</v>
      </c>
      <c r="W95" s="90">
        <f t="shared" si="76"/>
        <v>46821</v>
      </c>
      <c r="X95" s="17"/>
      <c r="Y95" s="17"/>
      <c r="Z95" s="394"/>
      <c r="AA95" s="394"/>
      <c r="AB95" s="394"/>
      <c r="AC95" s="394"/>
      <c r="AD95" s="394"/>
      <c r="AE95" s="394"/>
      <c r="AF95" s="387">
        <v>46065</v>
      </c>
      <c r="AG95" s="10">
        <f>IF(ISBLANK(AF95),"",EDATE(AF95,24))</f>
        <v>46795</v>
      </c>
      <c r="AH95" s="91">
        <v>46056</v>
      </c>
      <c r="AI95" s="90">
        <f t="shared" si="90"/>
        <v>46785</v>
      </c>
      <c r="AJ95" s="91">
        <v>46063</v>
      </c>
      <c r="AK95" s="91">
        <f t="shared" si="91"/>
        <v>46792</v>
      </c>
      <c r="AL95" s="38"/>
      <c r="AM95" s="38"/>
      <c r="AN95" s="395"/>
      <c r="AO95" s="10">
        <f>IF(ISBLANK(AJ95),"",EDATE(AJ95,24))</f>
        <v>46793</v>
      </c>
      <c r="AP95" s="90"/>
      <c r="AQ95" s="90"/>
      <c r="AR95" s="238"/>
      <c r="AS95" s="90"/>
      <c r="AT95" s="10"/>
      <c r="AU95" s="91" t="e">
        <f t="shared" si="82"/>
        <v>#VALUE!</v>
      </c>
      <c r="AV95" s="10"/>
      <c r="AW95" s="91" t="e">
        <f t="shared" si="83"/>
        <v>#VALUE!</v>
      </c>
      <c r="AX95" s="10"/>
      <c r="AY95" s="91" t="e">
        <f t="shared" si="84"/>
        <v>#VALUE!</v>
      </c>
      <c r="AZ95" s="10"/>
      <c r="BA95" s="91" t="e">
        <f t="shared" si="85"/>
        <v>#VALUE!</v>
      </c>
      <c r="BB95" s="10"/>
      <c r="BC95" s="91" t="e">
        <f t="shared" si="86"/>
        <v>#VALUE!</v>
      </c>
      <c r="BD95" s="10"/>
      <c r="BE95" s="91" t="e">
        <f t="shared" si="87"/>
        <v>#VALUE!</v>
      </c>
      <c r="BF95" s="10"/>
      <c r="BG95" s="10"/>
      <c r="BH95" s="426"/>
      <c r="BI95" s="426"/>
      <c r="BJ95" s="426"/>
      <c r="BK95" s="426"/>
      <c r="BL95" s="11">
        <v>46072</v>
      </c>
      <c r="BM95" s="91">
        <f t="shared" si="92"/>
        <v>46801</v>
      </c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397"/>
      <c r="CC95" s="10"/>
      <c r="CD95" s="10"/>
      <c r="CE95" s="314"/>
      <c r="CF95" s="314"/>
      <c r="CG95" s="314"/>
      <c r="CH95" s="209"/>
      <c r="CI95" s="10"/>
      <c r="CJ95" s="10"/>
      <c r="CK95" s="426"/>
      <c r="CL95" s="10"/>
      <c r="CM95" s="91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</row>
    <row r="96" spans="2:103" ht="50.25" customHeight="1">
      <c r="B96" s="462">
        <v>94</v>
      </c>
      <c r="C96" s="465" t="s">
        <v>529</v>
      </c>
      <c r="D96" s="385" t="s">
        <v>530</v>
      </c>
      <c r="E96" s="385" t="s">
        <v>531</v>
      </c>
      <c r="F96" s="411" t="s">
        <v>532</v>
      </c>
      <c r="G96" s="440" t="s">
        <v>232</v>
      </c>
      <c r="H96" s="290">
        <v>46062</v>
      </c>
      <c r="I96" s="91">
        <f>IF(ISBLANK(H96),"",EDATE(H96,24))-1</f>
        <v>46791</v>
      </c>
      <c r="J96" s="290"/>
      <c r="K96" s="91" t="e">
        <f>IF(ISBLANK(J96),"",EDATE(J96,24))-1</f>
        <v>#VALUE!</v>
      </c>
      <c r="L96" s="319">
        <v>46058</v>
      </c>
      <c r="M96" s="91">
        <f t="shared" si="89"/>
        <v>46787</v>
      </c>
      <c r="N96" s="405">
        <v>46084</v>
      </c>
      <c r="O96" s="11">
        <f t="shared" si="88"/>
        <v>46814</v>
      </c>
      <c r="P96" s="91">
        <v>46084</v>
      </c>
      <c r="Q96" s="91">
        <f>IF(ISBLANK(P96),"",EDATE(P96,24))-1</f>
        <v>46814</v>
      </c>
      <c r="R96" s="10"/>
      <c r="S96" s="10"/>
      <c r="T96" s="91">
        <v>46086</v>
      </c>
      <c r="U96" s="91">
        <f>IF(ISBLANK(T96),"",EDATE(T96,24))-1</f>
        <v>46816</v>
      </c>
      <c r="V96" s="10"/>
      <c r="W96" s="90" t="e">
        <f t="shared" si="76"/>
        <v>#VALUE!</v>
      </c>
      <c r="X96" s="10"/>
      <c r="Y96" s="10"/>
      <c r="Z96" s="10"/>
      <c r="AA96" s="10"/>
      <c r="AB96" s="10"/>
      <c r="AC96" s="10"/>
      <c r="AD96" s="10"/>
      <c r="AE96" s="10"/>
      <c r="AF96" s="387">
        <v>46065</v>
      </c>
      <c r="AG96" s="90">
        <f>IF(ISBLANK(AF96),"",EDATE(AF96,24))-1</f>
        <v>46794</v>
      </c>
      <c r="AH96" s="91">
        <v>46056</v>
      </c>
      <c r="AI96" s="90">
        <f t="shared" si="90"/>
        <v>46785</v>
      </c>
      <c r="AJ96" s="91">
        <v>46063</v>
      </c>
      <c r="AK96" s="91">
        <f t="shared" si="91"/>
        <v>46792</v>
      </c>
      <c r="AL96" s="1"/>
      <c r="AM96" s="91" t="e">
        <f>IF(ISBLANK(AL96),"",EDATE(AL96,12))-1</f>
        <v>#VALUE!</v>
      </c>
      <c r="AN96" s="10"/>
      <c r="AO96" s="90" t="e">
        <f>IF(ISBLANK(AN96),"",EDATE(AN96,24))-1</f>
        <v>#VALUE!</v>
      </c>
      <c r="AP96" s="90">
        <v>46064</v>
      </c>
      <c r="AQ96" s="90">
        <f t="shared" ref="AQ96:AQ104" si="93">IF(ISBLANK(AP96),"",EDATE(AP96,24))-1</f>
        <v>46793</v>
      </c>
      <c r="AR96" s="238"/>
      <c r="AS96" s="90" t="e">
        <f>IF(ISBLANK(AR96),"",EDATE(AR96,24))-1</f>
        <v>#VALUE!</v>
      </c>
      <c r="AT96" s="10"/>
      <c r="AU96" s="91" t="e">
        <f t="shared" si="82"/>
        <v>#VALUE!</v>
      </c>
      <c r="AV96" s="10"/>
      <c r="AW96" s="91" t="e">
        <f t="shared" si="83"/>
        <v>#VALUE!</v>
      </c>
      <c r="AX96" s="10"/>
      <c r="AY96" s="91" t="e">
        <f t="shared" si="84"/>
        <v>#VALUE!</v>
      </c>
      <c r="AZ96" s="10"/>
      <c r="BA96" s="91" t="e">
        <f t="shared" si="85"/>
        <v>#VALUE!</v>
      </c>
      <c r="BB96" s="10"/>
      <c r="BC96" s="91" t="e">
        <f t="shared" si="86"/>
        <v>#VALUE!</v>
      </c>
      <c r="BD96" s="10"/>
      <c r="BE96" s="91" t="e">
        <f t="shared" si="87"/>
        <v>#VALUE!</v>
      </c>
      <c r="BF96" s="10"/>
      <c r="BG96" s="10"/>
      <c r="BH96" s="426"/>
      <c r="BI96" s="426"/>
      <c r="BJ96" s="426"/>
      <c r="BK96" s="426"/>
      <c r="BL96" s="11">
        <v>46072</v>
      </c>
      <c r="BM96" s="91">
        <f t="shared" si="92"/>
        <v>46801</v>
      </c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425" t="s">
        <v>232</v>
      </c>
      <c r="CF96" s="425" t="s">
        <v>232</v>
      </c>
      <c r="CG96" s="425" t="s">
        <v>232</v>
      </c>
      <c r="CH96" s="425" t="s">
        <v>232</v>
      </c>
      <c r="CI96" s="10"/>
      <c r="CJ96" s="10"/>
      <c r="CK96" s="426"/>
      <c r="CL96" s="10"/>
      <c r="CM96" s="9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</row>
    <row r="97" spans="2:103" ht="50.25" customHeight="1">
      <c r="B97" s="462">
        <v>95</v>
      </c>
      <c r="C97" s="465" t="s">
        <v>533</v>
      </c>
      <c r="D97" s="385" t="s">
        <v>534</v>
      </c>
      <c r="E97" s="385" t="s">
        <v>535</v>
      </c>
      <c r="F97" s="411" t="s">
        <v>532</v>
      </c>
      <c r="G97" s="440"/>
      <c r="H97" s="290"/>
      <c r="I97" s="10" t="str">
        <f>IF(ISBLANK(H97),"",EDATE(H97,24))</f>
        <v/>
      </c>
      <c r="J97" s="290"/>
      <c r="K97" s="90"/>
      <c r="L97" s="319">
        <v>46058</v>
      </c>
      <c r="M97" s="91">
        <f t="shared" si="89"/>
        <v>46787</v>
      </c>
      <c r="N97" s="11">
        <v>46084</v>
      </c>
      <c r="O97" s="11">
        <f t="shared" si="88"/>
        <v>46814</v>
      </c>
      <c r="P97" s="91">
        <v>46084</v>
      </c>
      <c r="Q97" s="91">
        <f>IF(ISBLANK(P97),"",EDATE(P97,24))-1</f>
        <v>46814</v>
      </c>
      <c r="R97" s="17"/>
      <c r="S97" s="17"/>
      <c r="T97" s="91">
        <v>46086</v>
      </c>
      <c r="U97" s="91">
        <f>IF(ISBLANK(T97),"",EDATE(T97,24))-1</f>
        <v>46816</v>
      </c>
      <c r="V97" s="17"/>
      <c r="W97" s="90" t="e">
        <f t="shared" si="76"/>
        <v>#VALUE!</v>
      </c>
      <c r="X97" s="17"/>
      <c r="Y97" s="17"/>
      <c r="Z97" s="394"/>
      <c r="AA97" s="394"/>
      <c r="AB97" s="394"/>
      <c r="AC97" s="394"/>
      <c r="AD97" s="394"/>
      <c r="AE97" s="394"/>
      <c r="AF97" s="387"/>
      <c r="AG97" s="10" t="str">
        <f>IF(ISBLANK(AF97),"",EDATE(AF97,24))</f>
        <v/>
      </c>
      <c r="AH97" s="91">
        <v>46056</v>
      </c>
      <c r="AI97" s="90">
        <f t="shared" si="90"/>
        <v>46785</v>
      </c>
      <c r="AJ97" s="91">
        <v>46063</v>
      </c>
      <c r="AK97" s="91">
        <f t="shared" si="91"/>
        <v>46792</v>
      </c>
      <c r="AL97" s="1"/>
      <c r="AM97" s="1"/>
      <c r="AN97" s="38"/>
      <c r="AO97" s="10">
        <f>IF(ISBLANK(AJ97),"",EDATE(AJ97,24))</f>
        <v>46793</v>
      </c>
      <c r="AP97" s="90">
        <v>46064</v>
      </c>
      <c r="AQ97" s="90">
        <f t="shared" si="93"/>
        <v>46793</v>
      </c>
      <c r="AR97" s="238"/>
      <c r="AS97" s="90"/>
      <c r="AT97" s="10"/>
      <c r="AU97" s="91" t="e">
        <f t="shared" si="82"/>
        <v>#VALUE!</v>
      </c>
      <c r="AV97" s="10"/>
      <c r="AW97" s="91" t="e">
        <f t="shared" si="83"/>
        <v>#VALUE!</v>
      </c>
      <c r="AX97" s="10"/>
      <c r="AY97" s="91" t="e">
        <f t="shared" si="84"/>
        <v>#VALUE!</v>
      </c>
      <c r="AZ97" s="10"/>
      <c r="BA97" s="91" t="e">
        <f t="shared" si="85"/>
        <v>#VALUE!</v>
      </c>
      <c r="BB97" s="10"/>
      <c r="BC97" s="91" t="e">
        <f t="shared" si="86"/>
        <v>#VALUE!</v>
      </c>
      <c r="BD97" s="10"/>
      <c r="BE97" s="91" t="e">
        <f t="shared" si="87"/>
        <v>#VALUE!</v>
      </c>
      <c r="BF97" s="10"/>
      <c r="BG97" s="10"/>
      <c r="BH97" s="426"/>
      <c r="BI97" s="426"/>
      <c r="BJ97" s="426"/>
      <c r="BK97" s="426"/>
      <c r="BL97" s="11">
        <v>46072</v>
      </c>
      <c r="BM97" s="91">
        <f t="shared" si="92"/>
        <v>46801</v>
      </c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397"/>
      <c r="CC97" s="10"/>
      <c r="CD97" s="10"/>
      <c r="CE97" s="314"/>
      <c r="CF97" s="314"/>
      <c r="CG97" s="314"/>
      <c r="CH97" s="209"/>
      <c r="CI97" s="10"/>
      <c r="CJ97" s="10"/>
      <c r="CK97" s="426"/>
      <c r="CL97" s="10"/>
      <c r="CM97" s="91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</row>
    <row r="98" spans="2:103" ht="50.25" customHeight="1">
      <c r="B98" s="462">
        <v>96</v>
      </c>
      <c r="C98" s="465" t="s">
        <v>536</v>
      </c>
      <c r="D98" s="385" t="s">
        <v>487</v>
      </c>
      <c r="E98" s="385" t="s">
        <v>537</v>
      </c>
      <c r="F98" s="411" t="s">
        <v>538</v>
      </c>
      <c r="G98" s="440"/>
      <c r="H98" s="290">
        <v>46062</v>
      </c>
      <c r="I98" s="10">
        <f>IF(ISBLANK(H98),"",EDATE(H98,24))-1</f>
        <v>46791</v>
      </c>
      <c r="J98" s="290"/>
      <c r="K98" s="90"/>
      <c r="L98" s="319">
        <v>46058</v>
      </c>
      <c r="M98" s="91">
        <f t="shared" si="89"/>
        <v>46787</v>
      </c>
      <c r="N98" s="418">
        <v>46084</v>
      </c>
      <c r="O98" s="11">
        <f t="shared" si="88"/>
        <v>46814</v>
      </c>
      <c r="P98" s="91">
        <v>46084</v>
      </c>
      <c r="Q98" s="91">
        <f>IF(ISBLANK(P98),"",EDATE(P98,24))-1</f>
        <v>46814</v>
      </c>
      <c r="R98" s="10"/>
      <c r="S98" s="10"/>
      <c r="T98" s="91">
        <v>46086</v>
      </c>
      <c r="U98" s="91">
        <f>IF(ISBLANK(T98),"",EDATE(T98,24))-1</f>
        <v>46816</v>
      </c>
      <c r="V98" s="10"/>
      <c r="W98" s="90" t="e">
        <f t="shared" si="76"/>
        <v>#VALUE!</v>
      </c>
      <c r="X98" s="10"/>
      <c r="Y98" s="10"/>
      <c r="Z98" s="10"/>
      <c r="AA98" s="10"/>
      <c r="AB98" s="10"/>
      <c r="AC98" s="10"/>
      <c r="AD98" s="10"/>
      <c r="AE98" s="10"/>
      <c r="AF98" s="387">
        <v>46065</v>
      </c>
      <c r="AG98" s="10">
        <f>IF(ISBLANK(AF98),"",EDATE(AF98,24))-1</f>
        <v>46794</v>
      </c>
      <c r="AH98" s="90">
        <v>46056</v>
      </c>
      <c r="AI98" s="90">
        <f t="shared" si="90"/>
        <v>46785</v>
      </c>
      <c r="AJ98" s="91">
        <v>46063</v>
      </c>
      <c r="AK98" s="91">
        <f t="shared" si="91"/>
        <v>46792</v>
      </c>
      <c r="AL98" s="1"/>
      <c r="AM98" s="1"/>
      <c r="AN98" s="10"/>
      <c r="AO98" s="10">
        <f>IF(ISBLANK(AJ98),"",EDATE(AJ98,24))</f>
        <v>46793</v>
      </c>
      <c r="AP98" s="90">
        <v>46064</v>
      </c>
      <c r="AQ98" s="90">
        <f t="shared" si="93"/>
        <v>46793</v>
      </c>
      <c r="AR98" s="238"/>
      <c r="AS98" s="90"/>
      <c r="AT98" s="10"/>
      <c r="AU98" s="91" t="e">
        <f t="shared" si="82"/>
        <v>#VALUE!</v>
      </c>
      <c r="AV98" s="10"/>
      <c r="AW98" s="91" t="e">
        <f t="shared" si="83"/>
        <v>#VALUE!</v>
      </c>
      <c r="AX98" s="10"/>
      <c r="AY98" s="91" t="e">
        <f t="shared" si="84"/>
        <v>#VALUE!</v>
      </c>
      <c r="AZ98" s="10"/>
      <c r="BA98" s="91" t="e">
        <f t="shared" si="85"/>
        <v>#VALUE!</v>
      </c>
      <c r="BB98" s="10"/>
      <c r="BC98" s="91" t="e">
        <f t="shared" si="86"/>
        <v>#VALUE!</v>
      </c>
      <c r="BD98" s="10"/>
      <c r="BE98" s="91" t="e">
        <f t="shared" si="87"/>
        <v>#VALUE!</v>
      </c>
      <c r="BF98" s="10"/>
      <c r="BG98" s="10"/>
      <c r="BH98" s="426"/>
      <c r="BI98" s="426"/>
      <c r="BJ98" s="426"/>
      <c r="BK98" s="426"/>
      <c r="BL98" s="11">
        <v>46072</v>
      </c>
      <c r="BM98" s="91">
        <f t="shared" si="92"/>
        <v>46801</v>
      </c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9"/>
      <c r="CF98" s="109"/>
      <c r="CG98" s="109"/>
      <c r="CH98" s="209"/>
      <c r="CI98" s="10"/>
      <c r="CJ98" s="10"/>
      <c r="CK98" s="426"/>
      <c r="CL98" s="10"/>
      <c r="CM98" s="9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</row>
    <row r="99" spans="2:103" ht="50.25" customHeight="1">
      <c r="B99" s="462">
        <v>97</v>
      </c>
      <c r="C99" s="465" t="s">
        <v>539</v>
      </c>
      <c r="D99" s="385" t="s">
        <v>540</v>
      </c>
      <c r="E99" s="385" t="s">
        <v>541</v>
      </c>
      <c r="F99" s="411" t="s">
        <v>538</v>
      </c>
      <c r="G99" s="440"/>
      <c r="H99" s="290">
        <v>46062</v>
      </c>
      <c r="I99" s="10">
        <f>IF(ISBLANK(H99),"",EDATE(H99,24))-1</f>
        <v>46791</v>
      </c>
      <c r="J99" s="290"/>
      <c r="K99" s="90"/>
      <c r="L99" s="319">
        <v>46058</v>
      </c>
      <c r="M99" s="91">
        <f t="shared" si="89"/>
        <v>46787</v>
      </c>
      <c r="N99" s="418">
        <v>46084</v>
      </c>
      <c r="O99" s="11">
        <f t="shared" si="88"/>
        <v>46814</v>
      </c>
      <c r="P99" s="91">
        <v>46084</v>
      </c>
      <c r="Q99" s="91">
        <f>IF(ISBLANK(P99),"",EDATE(P99,24))-1</f>
        <v>46814</v>
      </c>
      <c r="R99" s="10"/>
      <c r="S99" s="10"/>
      <c r="T99" s="91">
        <v>46086</v>
      </c>
      <c r="U99" s="91">
        <f>IF(ISBLANK(T99),"",EDATE(T99,24))-1</f>
        <v>46816</v>
      </c>
      <c r="V99" s="10"/>
      <c r="W99" s="90" t="e">
        <f t="shared" si="76"/>
        <v>#VALUE!</v>
      </c>
      <c r="X99" s="10"/>
      <c r="Y99" s="10"/>
      <c r="Z99" s="10"/>
      <c r="AA99" s="10"/>
      <c r="AB99" s="10"/>
      <c r="AC99" s="10"/>
      <c r="AD99" s="10"/>
      <c r="AE99" s="10"/>
      <c r="AF99" s="387">
        <v>46065</v>
      </c>
      <c r="AG99" s="10">
        <f>IF(ISBLANK(AF99),"",EDATE(AF99,24))-1</f>
        <v>46794</v>
      </c>
      <c r="AH99" s="90">
        <v>46056</v>
      </c>
      <c r="AI99" s="90">
        <f t="shared" si="90"/>
        <v>46785</v>
      </c>
      <c r="AJ99" s="91">
        <v>46063</v>
      </c>
      <c r="AK99" s="91">
        <f t="shared" si="91"/>
        <v>46792</v>
      </c>
      <c r="AL99" s="10"/>
      <c r="AM99" s="10"/>
      <c r="AN99" s="10"/>
      <c r="AO99" s="10">
        <f>IF(ISBLANK(AJ99),"",EDATE(AJ99,24))</f>
        <v>46793</v>
      </c>
      <c r="AP99" s="90">
        <v>46064</v>
      </c>
      <c r="AQ99" s="90">
        <f t="shared" si="93"/>
        <v>46793</v>
      </c>
      <c r="AR99" s="238"/>
      <c r="AS99" s="90"/>
      <c r="AT99" s="10"/>
      <c r="AU99" s="91" t="e">
        <f t="shared" si="82"/>
        <v>#VALUE!</v>
      </c>
      <c r="AV99" s="10"/>
      <c r="AW99" s="91" t="e">
        <f t="shared" si="83"/>
        <v>#VALUE!</v>
      </c>
      <c r="AX99" s="10"/>
      <c r="AY99" s="91" t="e">
        <f t="shared" si="84"/>
        <v>#VALUE!</v>
      </c>
      <c r="AZ99" s="10"/>
      <c r="BA99" s="91" t="e">
        <f t="shared" si="85"/>
        <v>#VALUE!</v>
      </c>
      <c r="BB99" s="10"/>
      <c r="BC99" s="91" t="e">
        <f t="shared" si="86"/>
        <v>#VALUE!</v>
      </c>
      <c r="BD99" s="10"/>
      <c r="BE99" s="91" t="e">
        <f t="shared" si="87"/>
        <v>#VALUE!</v>
      </c>
      <c r="BF99" s="10"/>
      <c r="BG99" s="10"/>
      <c r="BH99" s="426"/>
      <c r="BI99" s="426"/>
      <c r="BJ99" s="426"/>
      <c r="BK99" s="426"/>
      <c r="BL99" s="11">
        <v>46072</v>
      </c>
      <c r="BM99" s="91">
        <f t="shared" si="92"/>
        <v>46801</v>
      </c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9"/>
      <c r="CF99" s="109"/>
      <c r="CG99" s="109"/>
      <c r="CH99" s="209"/>
      <c r="CI99" s="10"/>
      <c r="CJ99" s="10"/>
      <c r="CK99" s="426"/>
      <c r="CL99" s="10"/>
      <c r="CM99" s="9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</row>
    <row r="100" spans="2:103" ht="50.25" customHeight="1">
      <c r="B100" s="462">
        <v>98</v>
      </c>
      <c r="C100" s="465" t="s">
        <v>567</v>
      </c>
      <c r="D100" s="385" t="s">
        <v>568</v>
      </c>
      <c r="E100" s="385" t="s">
        <v>569</v>
      </c>
      <c r="F100" s="411" t="s">
        <v>538</v>
      </c>
      <c r="G100" s="439"/>
      <c r="H100" s="290"/>
      <c r="I100" s="10" t="str">
        <f>IF(ISBLANK(H100),"",EDATE(H100,24))</f>
        <v/>
      </c>
      <c r="J100" s="290"/>
      <c r="K100" s="90"/>
      <c r="L100" s="319"/>
      <c r="M100" s="91" t="str">
        <f>IF(ISBLANK(L100),"",EDATE(L100,24))</f>
        <v/>
      </c>
      <c r="N100" s="418">
        <v>46084</v>
      </c>
      <c r="O100" s="11">
        <f t="shared" si="88"/>
        <v>46814</v>
      </c>
      <c r="P100" s="91">
        <v>46084</v>
      </c>
      <c r="Q100" s="91">
        <f>IF(ISBLANK(P100),"",EDATE(P100,24))-1</f>
        <v>46814</v>
      </c>
      <c r="R100" s="10"/>
      <c r="S100" s="10"/>
      <c r="T100" s="91">
        <v>46086</v>
      </c>
      <c r="U100" s="91">
        <f>IF(ISBLANK(T100),"",EDATE(T100,24))-1</f>
        <v>46816</v>
      </c>
      <c r="V100" s="10"/>
      <c r="W100" s="90" t="e">
        <f t="shared" si="76"/>
        <v>#VALUE!</v>
      </c>
      <c r="X100" s="10"/>
      <c r="Y100" s="10"/>
      <c r="Z100" s="10"/>
      <c r="AA100" s="10"/>
      <c r="AB100" s="10"/>
      <c r="AC100" s="10"/>
      <c r="AD100" s="10"/>
      <c r="AE100" s="10"/>
      <c r="AF100" s="387"/>
      <c r="AG100" s="10" t="str">
        <f>IF(ISBLANK(AF100),"",EDATE(AF100,24))</f>
        <v/>
      </c>
      <c r="AH100" s="10"/>
      <c r="AI100" s="10" t="str">
        <f>IF(ISBLANK(AH100),"",EDATE(AH100,24))</f>
        <v/>
      </c>
      <c r="AJ100" s="1"/>
      <c r="AK100" s="1"/>
      <c r="AL100" s="1"/>
      <c r="AM100" s="1"/>
      <c r="AN100" s="10"/>
      <c r="AO100" s="10" t="str">
        <f>IF(ISBLANK(AJ100),"",EDATE(AJ100,24))</f>
        <v/>
      </c>
      <c r="AP100" s="90">
        <v>46064</v>
      </c>
      <c r="AQ100" s="90">
        <f t="shared" si="93"/>
        <v>46793</v>
      </c>
      <c r="AR100" s="238"/>
      <c r="AS100" s="90"/>
      <c r="AT100" s="10"/>
      <c r="AU100" s="91" t="e">
        <f t="shared" si="82"/>
        <v>#VALUE!</v>
      </c>
      <c r="AV100" s="10"/>
      <c r="AW100" s="91" t="e">
        <f t="shared" si="83"/>
        <v>#VALUE!</v>
      </c>
      <c r="AX100" s="10"/>
      <c r="AY100" s="91" t="e">
        <f t="shared" si="84"/>
        <v>#VALUE!</v>
      </c>
      <c r="AZ100" s="10"/>
      <c r="BA100" s="91" t="e">
        <f t="shared" si="85"/>
        <v>#VALUE!</v>
      </c>
      <c r="BB100" s="10"/>
      <c r="BC100" s="91" t="e">
        <f t="shared" si="86"/>
        <v>#VALUE!</v>
      </c>
      <c r="BD100" s="10"/>
      <c r="BE100" s="91" t="e">
        <f t="shared" si="87"/>
        <v>#VALUE!</v>
      </c>
      <c r="BF100" s="10"/>
      <c r="BG100" s="10"/>
      <c r="BH100" s="426"/>
      <c r="BI100" s="426"/>
      <c r="BJ100" s="426"/>
      <c r="BK100" s="426"/>
      <c r="BL100" s="11">
        <v>46072</v>
      </c>
      <c r="BM100" s="91">
        <f t="shared" si="92"/>
        <v>46801</v>
      </c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425" t="s">
        <v>232</v>
      </c>
      <c r="CF100" s="425" t="s">
        <v>232</v>
      </c>
      <c r="CG100" s="425" t="s">
        <v>232</v>
      </c>
      <c r="CH100" s="425" t="s">
        <v>232</v>
      </c>
      <c r="CI100" s="10"/>
      <c r="CJ100" s="10"/>
      <c r="CK100" s="426"/>
      <c r="CL100" s="10"/>
      <c r="CM100" s="9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</row>
    <row r="101" spans="2:103" ht="50.25" customHeight="1">
      <c r="B101" s="462">
        <v>99</v>
      </c>
      <c r="C101" s="465" t="s">
        <v>542</v>
      </c>
      <c r="D101" s="385" t="s">
        <v>543</v>
      </c>
      <c r="E101" s="385" t="s">
        <v>544</v>
      </c>
      <c r="F101" s="411" t="s">
        <v>422</v>
      </c>
      <c r="G101" s="440" t="s">
        <v>545</v>
      </c>
      <c r="H101" s="290">
        <v>46062</v>
      </c>
      <c r="I101" s="90">
        <f>IF(ISBLANK(H101),"",EDATE(H101,24))-1</f>
        <v>46791</v>
      </c>
      <c r="J101" s="290">
        <v>46028</v>
      </c>
      <c r="K101" s="90">
        <f>IF(ISBLANK(J101),"",EDATE(J101,24))-1</f>
        <v>46757</v>
      </c>
      <c r="L101" s="319">
        <v>46058</v>
      </c>
      <c r="M101" s="91">
        <f>IF(ISBLANK(L101),"",EDATE(L101,24))-1</f>
        <v>46787</v>
      </c>
      <c r="N101" s="418" t="s">
        <v>231</v>
      </c>
      <c r="O101" s="11" t="s">
        <v>231</v>
      </c>
      <c r="P101" s="418" t="s">
        <v>231</v>
      </c>
      <c r="Q101" s="11" t="s">
        <v>231</v>
      </c>
      <c r="R101" s="10"/>
      <c r="S101" s="10"/>
      <c r="T101" s="91">
        <v>46086</v>
      </c>
      <c r="U101" s="91">
        <f>IF(ISBLANK(T101),"",EDATE(T101,24))-1</f>
        <v>46816</v>
      </c>
      <c r="V101" s="10">
        <v>46091</v>
      </c>
      <c r="W101" s="90">
        <f t="shared" si="76"/>
        <v>46821</v>
      </c>
      <c r="X101" s="10"/>
      <c r="Y101" s="10"/>
      <c r="Z101" s="10"/>
      <c r="AA101" s="10"/>
      <c r="AB101" s="10"/>
      <c r="AC101" s="10"/>
      <c r="AD101" s="10"/>
      <c r="AE101" s="10"/>
      <c r="AF101" s="387">
        <v>46065</v>
      </c>
      <c r="AG101" s="10">
        <f>IF(ISBLANK(AF101),"",EDATE(AF101,24))-1</f>
        <v>46794</v>
      </c>
      <c r="AH101" s="90">
        <v>46056</v>
      </c>
      <c r="AI101" s="90">
        <f>IF(ISBLANK(AH101),"",EDATE(AH101,24))-1</f>
        <v>46785</v>
      </c>
      <c r="AJ101" s="91">
        <v>46063</v>
      </c>
      <c r="AK101" s="91">
        <f>IF(ISBLANK(AJ101),"",EDATE(AJ101,24))-1</f>
        <v>46792</v>
      </c>
      <c r="AL101" s="91">
        <v>46069</v>
      </c>
      <c r="AM101" s="91">
        <f>IF(ISBLANK(AL101),"",EDATE(AL101,12))-1</f>
        <v>46433</v>
      </c>
      <c r="AN101" s="10">
        <v>46032</v>
      </c>
      <c r="AO101" s="90">
        <f>IF(ISBLANK(AN101),"",EDATE(AN101,24))-1</f>
        <v>46761</v>
      </c>
      <c r="AP101" s="90">
        <v>46064</v>
      </c>
      <c r="AQ101" s="90">
        <f t="shared" si="93"/>
        <v>46793</v>
      </c>
      <c r="AR101" s="238"/>
      <c r="AS101" s="90" t="e">
        <f>IF(ISBLANK(AR101),"",EDATE(AR101,24))-1</f>
        <v>#VALUE!</v>
      </c>
      <c r="AT101" s="10"/>
      <c r="AU101" s="91" t="e">
        <f t="shared" si="82"/>
        <v>#VALUE!</v>
      </c>
      <c r="AV101" s="10">
        <v>46078</v>
      </c>
      <c r="AW101" s="91">
        <f t="shared" si="83"/>
        <v>46807</v>
      </c>
      <c r="AX101" s="10"/>
      <c r="AY101" s="91" t="e">
        <f t="shared" si="84"/>
        <v>#VALUE!</v>
      </c>
      <c r="AZ101" s="10"/>
      <c r="BA101" s="91" t="e">
        <f t="shared" si="85"/>
        <v>#VALUE!</v>
      </c>
      <c r="BB101" s="10"/>
      <c r="BC101" s="91" t="e">
        <f t="shared" si="86"/>
        <v>#VALUE!</v>
      </c>
      <c r="BD101" s="10"/>
      <c r="BE101" s="91" t="e">
        <f t="shared" si="87"/>
        <v>#VALUE!</v>
      </c>
      <c r="BF101" s="10"/>
      <c r="BG101" s="10"/>
      <c r="BH101" s="426"/>
      <c r="BI101" s="426"/>
      <c r="BJ101" s="426"/>
      <c r="BK101" s="426"/>
      <c r="BL101" s="11">
        <v>46072</v>
      </c>
      <c r="BM101" s="91">
        <f t="shared" si="92"/>
        <v>46801</v>
      </c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425" t="s">
        <v>232</v>
      </c>
      <c r="CF101" s="425" t="s">
        <v>232</v>
      </c>
      <c r="CG101" s="425" t="s">
        <v>232</v>
      </c>
      <c r="CH101" s="425" t="s">
        <v>232</v>
      </c>
      <c r="CI101" s="10"/>
      <c r="CJ101" s="10"/>
      <c r="CK101" s="426"/>
      <c r="CL101" s="10"/>
      <c r="CM101" s="9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</row>
    <row r="102" spans="2:103" ht="50.25" customHeight="1">
      <c r="B102" s="462">
        <v>100</v>
      </c>
      <c r="C102" s="465" t="s">
        <v>546</v>
      </c>
      <c r="D102" s="385" t="s">
        <v>547</v>
      </c>
      <c r="E102" s="385" t="s">
        <v>548</v>
      </c>
      <c r="F102" s="411" t="s">
        <v>422</v>
      </c>
      <c r="G102" s="440" t="s">
        <v>549</v>
      </c>
      <c r="H102" s="290">
        <v>46062</v>
      </c>
      <c r="I102" s="10">
        <f>IF(ISBLANK(H102),"",EDATE(H102,24))-1</f>
        <v>46791</v>
      </c>
      <c r="J102" s="290"/>
      <c r="K102" s="90"/>
      <c r="L102" s="319">
        <v>46058</v>
      </c>
      <c r="M102" s="91">
        <f>IF(ISBLANK(L102),"",EDATE(L102,24))-1</f>
        <v>46787</v>
      </c>
      <c r="N102" s="418" t="s">
        <v>231</v>
      </c>
      <c r="O102" s="11" t="s">
        <v>231</v>
      </c>
      <c r="P102" s="418" t="s">
        <v>231</v>
      </c>
      <c r="Q102" s="11" t="s">
        <v>231</v>
      </c>
      <c r="R102" s="10"/>
      <c r="S102" s="10"/>
      <c r="T102" s="91">
        <v>46086</v>
      </c>
      <c r="U102" s="91">
        <f>IF(ISBLANK(T102),"",EDATE(T102,24))-1</f>
        <v>46816</v>
      </c>
      <c r="V102" s="10">
        <v>46091</v>
      </c>
      <c r="W102" s="90">
        <f t="shared" si="76"/>
        <v>46821</v>
      </c>
      <c r="X102" s="10"/>
      <c r="Y102" s="10"/>
      <c r="Z102" s="10"/>
      <c r="AA102" s="10"/>
      <c r="AB102" s="10"/>
      <c r="AC102" s="10"/>
      <c r="AD102" s="10"/>
      <c r="AE102" s="10"/>
      <c r="AF102" s="387">
        <v>46065</v>
      </c>
      <c r="AG102" s="10">
        <f>IF(ISBLANK(AF102),"",EDATE(AF102,24))-1</f>
        <v>46794</v>
      </c>
      <c r="AH102" s="90">
        <v>46056</v>
      </c>
      <c r="AI102" s="90">
        <f>IF(ISBLANK(AH102),"",EDATE(AH102,24))-1</f>
        <v>46785</v>
      </c>
      <c r="AJ102" s="91">
        <v>46063</v>
      </c>
      <c r="AK102" s="91">
        <f>IF(ISBLANK(AJ102),"",EDATE(AJ102,24))-1</f>
        <v>46792</v>
      </c>
      <c r="AL102" s="91">
        <v>46069</v>
      </c>
      <c r="AM102" s="91">
        <f>IF(ISBLANK(AL102),"",EDATE(AL102,12))-1</f>
        <v>46433</v>
      </c>
      <c r="AN102" s="10"/>
      <c r="AO102" s="10">
        <f t="shared" ref="AO102:AO110" si="94">IF(ISBLANK(AJ102),"",EDATE(AJ102,24))</f>
        <v>46793</v>
      </c>
      <c r="AP102" s="90">
        <v>46064</v>
      </c>
      <c r="AQ102" s="90">
        <f t="shared" si="93"/>
        <v>46793</v>
      </c>
      <c r="AR102" s="238"/>
      <c r="AS102" s="90"/>
      <c r="AT102" s="10"/>
      <c r="AU102" s="91" t="e">
        <f t="shared" si="82"/>
        <v>#VALUE!</v>
      </c>
      <c r="AV102" s="10">
        <v>46078</v>
      </c>
      <c r="AW102" s="91">
        <f t="shared" si="83"/>
        <v>46807</v>
      </c>
      <c r="AX102" s="10"/>
      <c r="AY102" s="91" t="e">
        <f t="shared" si="84"/>
        <v>#VALUE!</v>
      </c>
      <c r="AZ102" s="10"/>
      <c r="BA102" s="91" t="e">
        <f t="shared" si="85"/>
        <v>#VALUE!</v>
      </c>
      <c r="BB102" s="10"/>
      <c r="BC102" s="91" t="e">
        <f t="shared" si="86"/>
        <v>#VALUE!</v>
      </c>
      <c r="BD102" s="10"/>
      <c r="BE102" s="91" t="e">
        <f t="shared" si="87"/>
        <v>#VALUE!</v>
      </c>
      <c r="BF102" s="10"/>
      <c r="BG102" s="10"/>
      <c r="BH102" s="426"/>
      <c r="BI102" s="426"/>
      <c r="BJ102" s="317">
        <v>46089</v>
      </c>
      <c r="BK102" s="317">
        <f>IF(ISBLANK(BJ102),"",EDATE(BJ102,24))-1</f>
        <v>46819</v>
      </c>
      <c r="BL102" s="11">
        <v>46072</v>
      </c>
      <c r="BM102" s="91">
        <f t="shared" si="92"/>
        <v>46801</v>
      </c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9"/>
      <c r="CF102" s="109"/>
      <c r="CG102" s="109"/>
      <c r="CH102" s="209"/>
      <c r="CI102" s="10"/>
      <c r="CJ102" s="10"/>
      <c r="CK102" s="426"/>
      <c r="CL102" s="10"/>
      <c r="CM102" s="9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</row>
    <row r="103" spans="2:103" ht="50.25" customHeight="1">
      <c r="B103" s="462">
        <v>101</v>
      </c>
      <c r="C103" s="468" t="s">
        <v>556</v>
      </c>
      <c r="D103" s="385" t="s">
        <v>557</v>
      </c>
      <c r="E103" s="385" t="s">
        <v>558</v>
      </c>
      <c r="F103" s="411" t="s">
        <v>422</v>
      </c>
      <c r="G103" s="440" t="s">
        <v>559</v>
      </c>
      <c r="H103" s="412">
        <v>46062</v>
      </c>
      <c r="I103" s="10">
        <f>IF(ISBLANK(H103),"",EDATE(H103,24))-1</f>
        <v>46791</v>
      </c>
      <c r="J103" s="290"/>
      <c r="K103" s="90"/>
      <c r="L103" s="290">
        <v>46058</v>
      </c>
      <c r="M103" s="90">
        <f>IF(ISBLANK(L103),"",EDATE(L103,24))-1</f>
        <v>46787</v>
      </c>
      <c r="N103" s="418" t="s">
        <v>231</v>
      </c>
      <c r="O103" s="11" t="s">
        <v>231</v>
      </c>
      <c r="P103" s="418" t="s">
        <v>231</v>
      </c>
      <c r="Q103" s="11" t="s">
        <v>231</v>
      </c>
      <c r="R103" s="10"/>
      <c r="S103" s="10"/>
      <c r="T103" s="10"/>
      <c r="U103" s="10"/>
      <c r="V103" s="10"/>
      <c r="W103" s="90" t="e">
        <f t="shared" si="76"/>
        <v>#VALUE!</v>
      </c>
      <c r="X103" s="10"/>
      <c r="Y103" s="10"/>
      <c r="Z103" s="10"/>
      <c r="AA103" s="10"/>
      <c r="AB103" s="10"/>
      <c r="AC103" s="10"/>
      <c r="AD103" s="10"/>
      <c r="AE103" s="10"/>
      <c r="AF103" s="387">
        <v>46065</v>
      </c>
      <c r="AG103" s="10">
        <f>IF(ISBLANK(AF103),"",EDATE(AF103,24))-1</f>
        <v>46794</v>
      </c>
      <c r="AH103" s="90">
        <v>46056</v>
      </c>
      <c r="AI103" s="90">
        <f>IF(ISBLANK(AH103),"",EDATE(AH103,24))-1</f>
        <v>46785</v>
      </c>
      <c r="AJ103" s="90">
        <v>46063</v>
      </c>
      <c r="AK103" s="90">
        <f>IF(ISBLANK(AJ103),"",EDATE(AJ103,24))-1</f>
        <v>46792</v>
      </c>
      <c r="AL103" s="90">
        <v>46069</v>
      </c>
      <c r="AM103" s="90">
        <f>IF(ISBLANK(AL103),"",EDATE(AL103,12))-1</f>
        <v>46433</v>
      </c>
      <c r="AN103" s="10"/>
      <c r="AO103" s="10">
        <f t="shared" si="94"/>
        <v>46793</v>
      </c>
      <c r="AP103" s="90">
        <v>46064</v>
      </c>
      <c r="AQ103" s="90">
        <f t="shared" si="93"/>
        <v>46793</v>
      </c>
      <c r="AR103" s="238"/>
      <c r="AS103" s="90"/>
      <c r="AT103" s="10"/>
      <c r="AU103" s="91" t="e">
        <f t="shared" si="82"/>
        <v>#VALUE!</v>
      </c>
      <c r="AV103" s="10">
        <v>46078</v>
      </c>
      <c r="AW103" s="91">
        <f t="shared" si="83"/>
        <v>46807</v>
      </c>
      <c r="AX103" s="10"/>
      <c r="AY103" s="91" t="e">
        <f t="shared" si="84"/>
        <v>#VALUE!</v>
      </c>
      <c r="AZ103" s="10"/>
      <c r="BA103" s="91" t="e">
        <f t="shared" si="85"/>
        <v>#VALUE!</v>
      </c>
      <c r="BB103" s="10"/>
      <c r="BC103" s="91" t="e">
        <f t="shared" si="86"/>
        <v>#VALUE!</v>
      </c>
      <c r="BD103" s="10"/>
      <c r="BE103" s="91" t="e">
        <f t="shared" si="87"/>
        <v>#VALUE!</v>
      </c>
      <c r="BF103" s="10"/>
      <c r="BG103" s="10"/>
      <c r="BH103" s="426"/>
      <c r="BI103" s="426"/>
      <c r="BJ103" s="426"/>
      <c r="BK103" s="426"/>
      <c r="BL103" s="11">
        <v>46072</v>
      </c>
      <c r="BM103" s="91">
        <f t="shared" si="92"/>
        <v>46801</v>
      </c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425" t="s">
        <v>232</v>
      </c>
      <c r="CF103" s="425" t="s">
        <v>232</v>
      </c>
      <c r="CG103" s="425" t="s">
        <v>232</v>
      </c>
      <c r="CH103" s="425" t="s">
        <v>232</v>
      </c>
      <c r="CI103" s="10"/>
      <c r="CJ103" s="10"/>
      <c r="CK103" s="426"/>
      <c r="CL103" s="10"/>
      <c r="CM103" s="9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</row>
    <row r="104" spans="2:103" ht="50.25" customHeight="1">
      <c r="B104" s="462">
        <v>102</v>
      </c>
      <c r="C104" s="468" t="s">
        <v>560</v>
      </c>
      <c r="D104" s="385" t="s">
        <v>561</v>
      </c>
      <c r="E104" s="385" t="s">
        <v>562</v>
      </c>
      <c r="F104" s="411" t="s">
        <v>422</v>
      </c>
      <c r="G104" s="440" t="s">
        <v>563</v>
      </c>
      <c r="H104" s="412">
        <v>46062</v>
      </c>
      <c r="I104" s="10">
        <f t="shared" ref="I104:I110" si="95">IF(ISBLANK(H104),"",EDATE(H104,24))</f>
        <v>46792</v>
      </c>
      <c r="J104" s="290"/>
      <c r="K104" s="90"/>
      <c r="L104" s="290">
        <v>46058</v>
      </c>
      <c r="M104" s="90">
        <f>IF(ISBLANK(L104),"",EDATE(L104,24))-1</f>
        <v>46787</v>
      </c>
      <c r="N104" s="418" t="s">
        <v>231</v>
      </c>
      <c r="O104" s="11" t="s">
        <v>231</v>
      </c>
      <c r="P104" s="418" t="s">
        <v>231</v>
      </c>
      <c r="Q104" s="11" t="s">
        <v>231</v>
      </c>
      <c r="R104" s="10"/>
      <c r="S104" s="10"/>
      <c r="T104" s="91">
        <v>46086</v>
      </c>
      <c r="U104" s="91">
        <f>IF(ISBLANK(T104),"",EDATE(T104,24))-1</f>
        <v>46816</v>
      </c>
      <c r="V104" s="10">
        <v>46091</v>
      </c>
      <c r="W104" s="90">
        <f t="shared" si="76"/>
        <v>46821</v>
      </c>
      <c r="X104" s="10"/>
      <c r="Y104" s="10"/>
      <c r="Z104" s="10"/>
      <c r="AA104" s="10"/>
      <c r="AB104" s="10"/>
      <c r="AC104" s="10"/>
      <c r="AD104" s="10"/>
      <c r="AE104" s="10"/>
      <c r="AF104" s="387">
        <v>46065</v>
      </c>
      <c r="AG104" s="10">
        <f>IF(ISBLANK(AF104),"",EDATE(AF104,24))-1</f>
        <v>46794</v>
      </c>
      <c r="AH104" s="90">
        <v>46056</v>
      </c>
      <c r="AI104" s="90">
        <f>IF(ISBLANK(AH104),"",EDATE(AH104,24))-1</f>
        <v>46785</v>
      </c>
      <c r="AJ104" s="90">
        <v>46063</v>
      </c>
      <c r="AK104" s="90">
        <f>IF(ISBLANK(AJ104),"",EDATE(AJ104,24))-1</f>
        <v>46792</v>
      </c>
      <c r="AL104" s="90">
        <v>46069</v>
      </c>
      <c r="AM104" s="90">
        <f>IF(ISBLANK(AL104),"",EDATE(AL104,12))-1</f>
        <v>46433</v>
      </c>
      <c r="AN104" s="10"/>
      <c r="AO104" s="10">
        <f t="shared" si="94"/>
        <v>46793</v>
      </c>
      <c r="AP104" s="90">
        <v>46064</v>
      </c>
      <c r="AQ104" s="90">
        <f t="shared" si="93"/>
        <v>46793</v>
      </c>
      <c r="AR104" s="238"/>
      <c r="AS104" s="90"/>
      <c r="AT104" s="10"/>
      <c r="AU104" s="91" t="e">
        <f t="shared" si="82"/>
        <v>#VALUE!</v>
      </c>
      <c r="AV104" s="10">
        <v>46078</v>
      </c>
      <c r="AW104" s="91">
        <f t="shared" si="83"/>
        <v>46807</v>
      </c>
      <c r="AX104" s="10"/>
      <c r="AY104" s="91" t="e">
        <f t="shared" si="84"/>
        <v>#VALUE!</v>
      </c>
      <c r="AZ104" s="10"/>
      <c r="BA104" s="91" t="e">
        <f t="shared" si="85"/>
        <v>#VALUE!</v>
      </c>
      <c r="BB104" s="10"/>
      <c r="BC104" s="91" t="e">
        <f t="shared" si="86"/>
        <v>#VALUE!</v>
      </c>
      <c r="BD104" s="10"/>
      <c r="BE104" s="91" t="e">
        <f t="shared" si="87"/>
        <v>#VALUE!</v>
      </c>
      <c r="BF104" s="10"/>
      <c r="BG104" s="10"/>
      <c r="BH104" s="426"/>
      <c r="BI104" s="426"/>
      <c r="BJ104" s="317">
        <v>46089</v>
      </c>
      <c r="BK104" s="317">
        <f>IF(ISBLANK(BJ104),"",EDATE(BJ104,24))-1</f>
        <v>46819</v>
      </c>
      <c r="BL104" s="11">
        <v>46072</v>
      </c>
      <c r="BM104" s="90">
        <f t="shared" si="92"/>
        <v>46801</v>
      </c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425" t="s">
        <v>232</v>
      </c>
      <c r="CF104" s="425" t="s">
        <v>232</v>
      </c>
      <c r="CG104" s="425" t="s">
        <v>232</v>
      </c>
      <c r="CH104" s="425" t="s">
        <v>232</v>
      </c>
      <c r="CI104" s="10"/>
      <c r="CJ104" s="10"/>
      <c r="CK104" s="426"/>
      <c r="CL104" s="10"/>
      <c r="CM104" s="9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</row>
    <row r="105" spans="2:103" ht="50.25" customHeight="1">
      <c r="B105" s="462">
        <v>103</v>
      </c>
      <c r="C105" s="468" t="s">
        <v>564</v>
      </c>
      <c r="D105" s="385" t="s">
        <v>565</v>
      </c>
      <c r="E105" s="385" t="s">
        <v>566</v>
      </c>
      <c r="F105" s="411" t="s">
        <v>253</v>
      </c>
      <c r="G105" s="439"/>
      <c r="H105" s="412">
        <v>46062</v>
      </c>
      <c r="I105" s="10">
        <f t="shared" si="95"/>
        <v>46792</v>
      </c>
      <c r="J105" s="290"/>
      <c r="K105" s="90"/>
      <c r="L105" s="290">
        <v>46058</v>
      </c>
      <c r="M105" s="90">
        <f>IF(ISBLANK(L105),"",EDATE(L105,24))-1</f>
        <v>46787</v>
      </c>
      <c r="N105" s="418">
        <v>46084</v>
      </c>
      <c r="O105" s="11">
        <f>IF(ISBLANK(N105),"",EDATE(N105,24))-1</f>
        <v>46814</v>
      </c>
      <c r="P105" s="91">
        <v>46084</v>
      </c>
      <c r="Q105" s="91">
        <f>IF(ISBLANK(P105),"",EDATE(P105,24))-1</f>
        <v>46814</v>
      </c>
      <c r="R105" s="10"/>
      <c r="S105" s="10"/>
      <c r="T105" s="91">
        <v>46086</v>
      </c>
      <c r="U105" s="91">
        <f>IF(ISBLANK(T105),"",EDATE(T105,24))-1</f>
        <v>46816</v>
      </c>
      <c r="V105" s="10">
        <v>46091</v>
      </c>
      <c r="W105" s="90">
        <f t="shared" si="76"/>
        <v>46821</v>
      </c>
      <c r="X105" s="10"/>
      <c r="Y105" s="10"/>
      <c r="Z105" s="10"/>
      <c r="AA105" s="10"/>
      <c r="AB105" s="10"/>
      <c r="AC105" s="10"/>
      <c r="AD105" s="10"/>
      <c r="AE105" s="10"/>
      <c r="AF105" s="387">
        <v>46065</v>
      </c>
      <c r="AG105" s="10">
        <f>IF(ISBLANK(AF105),"",EDATE(AF105,24))-1</f>
        <v>46794</v>
      </c>
      <c r="AH105" s="90">
        <v>46056</v>
      </c>
      <c r="AI105" s="90">
        <f>IF(ISBLANK(AH105),"",EDATE(AH105,24))-1</f>
        <v>46785</v>
      </c>
      <c r="AJ105" s="90">
        <v>46063</v>
      </c>
      <c r="AK105" s="90">
        <f>IF(ISBLANK(AJ105),"",EDATE(AJ105,24))-1</f>
        <v>46792</v>
      </c>
      <c r="AL105" s="90">
        <v>46069</v>
      </c>
      <c r="AM105" s="90">
        <f>IF(ISBLANK(AL105),"",EDATE(AL105,12))-1</f>
        <v>46433</v>
      </c>
      <c r="AN105" s="10"/>
      <c r="AO105" s="10">
        <f t="shared" si="94"/>
        <v>46793</v>
      </c>
      <c r="AP105" s="90"/>
      <c r="AQ105" s="90"/>
      <c r="AR105" s="238"/>
      <c r="AS105" s="90"/>
      <c r="AT105" s="10"/>
      <c r="AU105" s="91" t="e">
        <f t="shared" si="82"/>
        <v>#VALUE!</v>
      </c>
      <c r="AV105" s="10"/>
      <c r="AW105" s="91" t="e">
        <f t="shared" si="83"/>
        <v>#VALUE!</v>
      </c>
      <c r="AX105" s="10"/>
      <c r="AY105" s="91" t="e">
        <f t="shared" si="84"/>
        <v>#VALUE!</v>
      </c>
      <c r="AZ105" s="10"/>
      <c r="BA105" s="91" t="e">
        <f t="shared" si="85"/>
        <v>#VALUE!</v>
      </c>
      <c r="BB105" s="10"/>
      <c r="BC105" s="91" t="e">
        <f t="shared" si="86"/>
        <v>#VALUE!</v>
      </c>
      <c r="BD105" s="10"/>
      <c r="BE105" s="91" t="e">
        <f t="shared" si="87"/>
        <v>#VALUE!</v>
      </c>
      <c r="BF105" s="10"/>
      <c r="BG105" s="10"/>
      <c r="BH105" s="426"/>
      <c r="BI105" s="426"/>
      <c r="BJ105" s="426"/>
      <c r="BK105" s="426"/>
      <c r="BL105" s="11">
        <v>46072</v>
      </c>
      <c r="BM105" s="90">
        <f t="shared" si="92"/>
        <v>46801</v>
      </c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425" t="s">
        <v>232</v>
      </c>
      <c r="CF105" s="425" t="s">
        <v>232</v>
      </c>
      <c r="CG105" s="425" t="s">
        <v>232</v>
      </c>
      <c r="CH105" s="425" t="s">
        <v>232</v>
      </c>
      <c r="CI105" s="10"/>
      <c r="CJ105" s="10"/>
      <c r="CK105" s="426"/>
      <c r="CL105" s="10"/>
      <c r="CM105" s="9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</row>
    <row r="106" spans="2:103" s="126" customFormat="1" ht="44.45" customHeight="1">
      <c r="B106" s="462">
        <v>104</v>
      </c>
      <c r="C106" s="471" t="s">
        <v>800</v>
      </c>
      <c r="D106" s="403" t="s">
        <v>801</v>
      </c>
      <c r="E106" s="403" t="s">
        <v>802</v>
      </c>
      <c r="F106" s="403" t="s">
        <v>803</v>
      </c>
      <c r="G106" s="473"/>
      <c r="H106" s="404"/>
      <c r="I106" s="38" t="str">
        <f t="shared" si="95"/>
        <v/>
      </c>
      <c r="J106" s="404"/>
      <c r="K106" s="97"/>
      <c r="L106" s="404"/>
      <c r="M106" s="97" t="str">
        <f>IF(ISBLANK(L106),"",EDATE(L106,24))</f>
        <v/>
      </c>
      <c r="N106" s="39">
        <v>46084</v>
      </c>
      <c r="O106" s="39">
        <f>IF(ISBLANK(N106),"",EDATE(N106,24))-1</f>
        <v>46814</v>
      </c>
      <c r="P106" s="91">
        <v>46084</v>
      </c>
      <c r="Q106" s="91">
        <f>IF(ISBLANK(P106),"",EDATE(P106,24))-1</f>
        <v>46814</v>
      </c>
      <c r="R106" s="421"/>
      <c r="S106" s="421"/>
      <c r="T106" s="91">
        <v>46086</v>
      </c>
      <c r="U106" s="91">
        <f>IF(ISBLANK(T106),"",EDATE(T106,24))-1</f>
        <v>46816</v>
      </c>
      <c r="V106" s="421">
        <v>46091</v>
      </c>
      <c r="W106" s="90">
        <f t="shared" si="76"/>
        <v>46821</v>
      </c>
      <c r="X106" s="421"/>
      <c r="Y106" s="421"/>
      <c r="Z106" s="421"/>
      <c r="AA106" s="421"/>
      <c r="AB106" s="421"/>
      <c r="AC106" s="421"/>
      <c r="AD106" s="421"/>
      <c r="AE106" s="421"/>
      <c r="AF106" s="407"/>
      <c r="AG106" s="38" t="str">
        <f>IF(ISBLANK(AF106),"",EDATE(AF106,24))</f>
        <v/>
      </c>
      <c r="AH106" s="38"/>
      <c r="AI106" s="38" t="str">
        <f t="shared" ref="AI103:AI110" si="96">IF(ISBLANK(AH106),"",EDATE(AH106,24))</f>
        <v/>
      </c>
      <c r="AJ106" s="38"/>
      <c r="AK106" s="38"/>
      <c r="AL106" s="38"/>
      <c r="AM106" s="38"/>
      <c r="AN106" s="38"/>
      <c r="AO106" s="38" t="str">
        <f t="shared" si="94"/>
        <v/>
      </c>
      <c r="AP106" s="97"/>
      <c r="AQ106" s="97"/>
      <c r="AR106" s="486"/>
      <c r="AS106" s="97"/>
      <c r="AT106" s="38"/>
      <c r="AU106" s="97" t="e">
        <f t="shared" si="82"/>
        <v>#VALUE!</v>
      </c>
      <c r="AV106" s="38"/>
      <c r="AW106" s="97" t="e">
        <f t="shared" si="83"/>
        <v>#VALUE!</v>
      </c>
      <c r="AX106" s="38"/>
      <c r="AY106" s="97" t="e">
        <f t="shared" si="84"/>
        <v>#VALUE!</v>
      </c>
      <c r="AZ106" s="38"/>
      <c r="BA106" s="97" t="e">
        <f t="shared" si="85"/>
        <v>#VALUE!</v>
      </c>
      <c r="BB106" s="38"/>
      <c r="BC106" s="97" t="e">
        <f t="shared" si="86"/>
        <v>#VALUE!</v>
      </c>
      <c r="BD106" s="38"/>
      <c r="BE106" s="97" t="e">
        <f t="shared" si="87"/>
        <v>#VALUE!</v>
      </c>
      <c r="BF106" s="38"/>
      <c r="BG106" s="38"/>
      <c r="BH106" s="489"/>
      <c r="BI106" s="489"/>
      <c r="BJ106" s="489"/>
      <c r="BK106" s="489"/>
      <c r="BL106" s="38"/>
      <c r="BM106" s="97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491" t="s">
        <v>232</v>
      </c>
      <c r="CF106" s="491" t="s">
        <v>232</v>
      </c>
      <c r="CG106" s="491" t="s">
        <v>232</v>
      </c>
      <c r="CH106" s="491" t="s">
        <v>232</v>
      </c>
      <c r="CI106" s="38"/>
      <c r="CJ106" s="38"/>
      <c r="CK106" s="489"/>
      <c r="CL106" s="17"/>
      <c r="CM106" s="97"/>
      <c r="CN106" s="38"/>
      <c r="CO106" s="38"/>
      <c r="CP106" s="413"/>
      <c r="CQ106" s="17"/>
      <c r="CR106" s="17"/>
      <c r="CS106" s="17"/>
      <c r="CT106" s="17"/>
      <c r="CU106" s="17"/>
      <c r="CV106" s="17"/>
      <c r="CW106" s="17"/>
      <c r="CX106" s="17"/>
      <c r="CY106" s="17"/>
    </row>
    <row r="107" spans="2:103" ht="50.25" customHeight="1">
      <c r="B107" s="10"/>
      <c r="C107" s="468"/>
      <c r="D107" s="385"/>
      <c r="E107" s="385"/>
      <c r="F107" s="411"/>
      <c r="G107" s="439"/>
      <c r="H107" s="412"/>
      <c r="I107" s="10" t="str">
        <f t="shared" si="95"/>
        <v/>
      </c>
      <c r="J107" s="290"/>
      <c r="K107" s="90"/>
      <c r="L107" s="290"/>
      <c r="M107" s="90" t="str">
        <f>IF(ISBLANK(L107),"",EDATE(L107,24))</f>
        <v/>
      </c>
      <c r="N107" s="39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387"/>
      <c r="AG107" s="10" t="str">
        <f>IF(ISBLANK(AF107),"",EDATE(AF107,24))</f>
        <v/>
      </c>
      <c r="AH107" s="10"/>
      <c r="AI107" s="10" t="str">
        <f t="shared" si="96"/>
        <v/>
      </c>
      <c r="AJ107" s="10"/>
      <c r="AK107" s="10"/>
      <c r="AL107" s="10"/>
      <c r="AM107" s="10"/>
      <c r="AN107" s="10"/>
      <c r="AO107" s="10" t="str">
        <f t="shared" si="94"/>
        <v/>
      </c>
      <c r="AP107" s="90"/>
      <c r="AQ107" s="90"/>
      <c r="AR107" s="238"/>
      <c r="AS107" s="90"/>
      <c r="AT107" s="10"/>
      <c r="AU107" s="91" t="e">
        <f t="shared" si="82"/>
        <v>#VALUE!</v>
      </c>
      <c r="AV107" s="10"/>
      <c r="AW107" s="91" t="e">
        <f t="shared" si="83"/>
        <v>#VALUE!</v>
      </c>
      <c r="AX107" s="10"/>
      <c r="AY107" s="91" t="e">
        <f t="shared" si="84"/>
        <v>#VALUE!</v>
      </c>
      <c r="AZ107" s="10"/>
      <c r="BA107" s="91" t="e">
        <f t="shared" si="85"/>
        <v>#VALUE!</v>
      </c>
      <c r="BB107" s="10"/>
      <c r="BC107" s="91" t="e">
        <f t="shared" si="86"/>
        <v>#VALUE!</v>
      </c>
      <c r="BD107" s="10"/>
      <c r="BE107" s="91" t="e">
        <f t="shared" si="87"/>
        <v>#VALUE!</v>
      </c>
      <c r="BF107" s="10"/>
      <c r="BG107" s="10"/>
      <c r="BH107" s="426"/>
      <c r="BI107" s="426"/>
      <c r="BJ107" s="426"/>
      <c r="BK107" s="426"/>
      <c r="BL107" s="10"/>
      <c r="BM107" s="9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425" t="s">
        <v>232</v>
      </c>
      <c r="CF107" s="425" t="s">
        <v>232</v>
      </c>
      <c r="CG107" s="425" t="s">
        <v>232</v>
      </c>
      <c r="CH107" s="425" t="s">
        <v>232</v>
      </c>
      <c r="CI107" s="10"/>
      <c r="CJ107" s="10"/>
      <c r="CK107" s="426"/>
      <c r="CL107" s="10"/>
      <c r="CM107" s="9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</row>
    <row r="108" spans="2:103" ht="50.25" customHeight="1">
      <c r="B108" s="10"/>
      <c r="C108" s="468"/>
      <c r="D108" s="385"/>
      <c r="E108" s="385"/>
      <c r="F108" s="411"/>
      <c r="G108" s="439"/>
      <c r="H108" s="412"/>
      <c r="I108" s="10" t="str">
        <f t="shared" si="95"/>
        <v/>
      </c>
      <c r="J108" s="290"/>
      <c r="K108" s="90"/>
      <c r="L108" s="290"/>
      <c r="M108" s="90" t="str">
        <f>IF(ISBLANK(L108),"",EDATE(L108,24))</f>
        <v/>
      </c>
      <c r="N108" s="39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387"/>
      <c r="AG108" s="10" t="str">
        <f>IF(ISBLANK(AF108),"",EDATE(AF108,24))</f>
        <v/>
      </c>
      <c r="AH108" s="10"/>
      <c r="AI108" s="10" t="str">
        <f t="shared" si="96"/>
        <v/>
      </c>
      <c r="AJ108" s="10"/>
      <c r="AK108" s="10"/>
      <c r="AL108" s="10"/>
      <c r="AM108" s="10"/>
      <c r="AN108" s="10"/>
      <c r="AO108" s="10" t="str">
        <f t="shared" si="94"/>
        <v/>
      </c>
      <c r="AP108" s="90"/>
      <c r="AQ108" s="90"/>
      <c r="AR108" s="238"/>
      <c r="AS108" s="90"/>
      <c r="AT108" s="10"/>
      <c r="AU108" s="91" t="e">
        <f t="shared" si="82"/>
        <v>#VALUE!</v>
      </c>
      <c r="AV108" s="10"/>
      <c r="AW108" s="91" t="e">
        <f t="shared" si="83"/>
        <v>#VALUE!</v>
      </c>
      <c r="AX108" s="10"/>
      <c r="AY108" s="91" t="e">
        <f t="shared" si="84"/>
        <v>#VALUE!</v>
      </c>
      <c r="AZ108" s="10"/>
      <c r="BA108" s="91" t="e">
        <f t="shared" si="85"/>
        <v>#VALUE!</v>
      </c>
      <c r="BB108" s="10"/>
      <c r="BC108" s="91" t="e">
        <f t="shared" si="86"/>
        <v>#VALUE!</v>
      </c>
      <c r="BD108" s="10"/>
      <c r="BE108" s="91" t="e">
        <f t="shared" si="87"/>
        <v>#VALUE!</v>
      </c>
      <c r="BF108" s="10"/>
      <c r="BG108" s="10"/>
      <c r="BH108" s="426"/>
      <c r="BI108" s="426"/>
      <c r="BJ108" s="426"/>
      <c r="BK108" s="426"/>
      <c r="BL108" s="10"/>
      <c r="BM108" s="9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425" t="s">
        <v>232</v>
      </c>
      <c r="CF108" s="425" t="s">
        <v>232</v>
      </c>
      <c r="CG108" s="425" t="s">
        <v>232</v>
      </c>
      <c r="CH108" s="425" t="s">
        <v>232</v>
      </c>
      <c r="CI108" s="10"/>
      <c r="CJ108" s="10"/>
      <c r="CK108" s="426"/>
      <c r="CL108" s="10"/>
      <c r="CM108" s="9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</row>
    <row r="109" spans="2:103" ht="63" customHeight="1">
      <c r="B109" s="38"/>
      <c r="C109" s="469"/>
      <c r="D109" s="403"/>
      <c r="E109" s="403"/>
      <c r="F109" s="414"/>
      <c r="G109" s="439"/>
      <c r="H109" s="415"/>
      <c r="I109" s="38" t="str">
        <f t="shared" si="95"/>
        <v/>
      </c>
      <c r="J109" s="404"/>
      <c r="K109" s="97"/>
      <c r="L109" s="404"/>
      <c r="M109" s="97" t="str">
        <f>IF(ISBLANK(L109),"",EDATE(L109,24))</f>
        <v/>
      </c>
      <c r="N109" s="42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387"/>
      <c r="AG109" s="10" t="str">
        <f>IF(ISBLANK(AF109),"",EDATE(AF109,24))</f>
        <v/>
      </c>
      <c r="AH109" s="10"/>
      <c r="AI109" s="10" t="str">
        <f t="shared" si="96"/>
        <v/>
      </c>
      <c r="AJ109" s="10"/>
      <c r="AK109" s="10"/>
      <c r="AL109" s="10"/>
      <c r="AM109" s="10"/>
      <c r="AN109" s="10"/>
      <c r="AO109" s="10" t="str">
        <f t="shared" si="94"/>
        <v/>
      </c>
      <c r="AP109" s="90"/>
      <c r="AQ109" s="90"/>
      <c r="AR109" s="238"/>
      <c r="AS109" s="90"/>
      <c r="AT109" s="10"/>
      <c r="AU109" s="91" t="e">
        <f t="shared" si="82"/>
        <v>#VALUE!</v>
      </c>
      <c r="AV109" s="10"/>
      <c r="AW109" s="91" t="e">
        <f t="shared" si="83"/>
        <v>#VALUE!</v>
      </c>
      <c r="AX109" s="10"/>
      <c r="AY109" s="91" t="e">
        <f t="shared" si="84"/>
        <v>#VALUE!</v>
      </c>
      <c r="AZ109" s="10"/>
      <c r="BA109" s="91" t="e">
        <f t="shared" si="85"/>
        <v>#VALUE!</v>
      </c>
      <c r="BB109" s="10"/>
      <c r="BC109" s="91" t="e">
        <f t="shared" si="86"/>
        <v>#VALUE!</v>
      </c>
      <c r="BD109" s="10"/>
      <c r="BE109" s="91" t="e">
        <f t="shared" si="87"/>
        <v>#VALUE!</v>
      </c>
      <c r="BF109" s="10"/>
      <c r="BG109" s="10"/>
      <c r="BH109" s="426"/>
      <c r="BI109" s="426"/>
      <c r="BJ109" s="426"/>
      <c r="BK109" s="426"/>
      <c r="BL109" s="10"/>
      <c r="BM109" s="9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425" t="s">
        <v>232</v>
      </c>
      <c r="CF109" s="425" t="s">
        <v>232</v>
      </c>
      <c r="CG109" s="425" t="s">
        <v>232</v>
      </c>
      <c r="CH109" s="425" t="s">
        <v>232</v>
      </c>
      <c r="CI109" s="10"/>
      <c r="CJ109" s="10"/>
      <c r="CK109" s="426"/>
      <c r="CL109" s="10"/>
      <c r="CM109" s="9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</row>
    <row r="110" spans="2:103" ht="15" customHeight="1">
      <c r="B110" s="38"/>
      <c r="C110" s="469"/>
      <c r="D110" s="403"/>
      <c r="E110" s="403"/>
      <c r="F110" s="403"/>
      <c r="G110" s="460"/>
      <c r="H110" s="404"/>
      <c r="I110" s="38" t="str">
        <f t="shared" si="95"/>
        <v/>
      </c>
      <c r="J110" s="404"/>
      <c r="K110" s="97"/>
      <c r="L110" s="404"/>
      <c r="M110" s="97" t="str">
        <f>IF(ISBLANK(L110),"",EDATE(L110,24))</f>
        <v/>
      </c>
      <c r="N110" s="38"/>
      <c r="O110" s="38"/>
      <c r="P110" s="413"/>
      <c r="Q110" s="413"/>
      <c r="R110" s="413"/>
      <c r="S110" s="413"/>
      <c r="T110" s="413"/>
      <c r="U110" s="413"/>
      <c r="V110" s="413"/>
      <c r="W110" s="413"/>
      <c r="X110" s="413"/>
      <c r="Y110" s="413"/>
      <c r="Z110" s="394"/>
      <c r="AA110" s="394"/>
      <c r="AB110" s="394"/>
      <c r="AC110" s="394"/>
      <c r="AD110" s="394"/>
      <c r="AE110" s="394"/>
      <c r="AF110" s="407"/>
      <c r="AG110" s="38" t="str">
        <f>IF(ISBLANK(AF110),"",EDATE(AF110,24))</f>
        <v/>
      </c>
      <c r="AH110" s="38"/>
      <c r="AI110" s="38" t="str">
        <f t="shared" si="96"/>
        <v/>
      </c>
      <c r="AJ110" s="38"/>
      <c r="AK110" s="38"/>
      <c r="AL110" s="38"/>
      <c r="AM110" s="38"/>
      <c r="AN110" s="38"/>
      <c r="AO110" s="38" t="str">
        <f t="shared" si="94"/>
        <v/>
      </c>
      <c r="AP110" s="451"/>
      <c r="AQ110" s="451"/>
      <c r="AR110" s="452"/>
      <c r="AS110" s="451"/>
      <c r="AT110" s="38"/>
      <c r="AU110" s="91" t="e">
        <f t="shared" si="82"/>
        <v>#VALUE!</v>
      </c>
      <c r="AV110" s="38"/>
      <c r="AW110" s="91" t="e">
        <f t="shared" si="83"/>
        <v>#VALUE!</v>
      </c>
      <c r="AX110" s="38"/>
      <c r="AY110" s="91" t="e">
        <f t="shared" si="84"/>
        <v>#VALUE!</v>
      </c>
      <c r="AZ110" s="38"/>
      <c r="BA110" s="91" t="e">
        <f t="shared" si="85"/>
        <v>#VALUE!</v>
      </c>
      <c r="BB110" s="38"/>
      <c r="BC110" s="91" t="e">
        <f t="shared" si="86"/>
        <v>#VALUE!</v>
      </c>
      <c r="BD110" s="38"/>
      <c r="BE110" s="91" t="e">
        <f t="shared" si="87"/>
        <v>#VALUE!</v>
      </c>
      <c r="BF110" s="240"/>
      <c r="BG110" s="240"/>
      <c r="BL110" s="38"/>
      <c r="BM110" s="416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 t="s">
        <v>577</v>
      </c>
      <c r="CA110" s="38"/>
      <c r="CB110" s="397"/>
      <c r="CC110" s="38"/>
      <c r="CD110" s="38"/>
      <c r="CE110" s="453"/>
      <c r="CF110" s="453"/>
      <c r="CG110" s="453"/>
      <c r="CH110" s="454"/>
      <c r="CI110" s="38"/>
      <c r="CJ110" s="38"/>
      <c r="CL110" s="38"/>
      <c r="CM110" s="416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</row>
    <row r="111" spans="2:103" ht="15" customHeight="1">
      <c r="CL111" s="68"/>
    </row>
    <row r="112" spans="2:103" ht="15" customHeight="1">
      <c r="CL112" s="68"/>
    </row>
    <row r="113" spans="6:90" ht="15" customHeight="1">
      <c r="CL113" s="68"/>
    </row>
    <row r="114" spans="6:90" ht="15" customHeight="1">
      <c r="CL114" s="68"/>
    </row>
    <row r="115" spans="6:90" ht="15" customHeight="1">
      <c r="CL115" s="68"/>
    </row>
    <row r="116" spans="6:90" ht="15" customHeight="1">
      <c r="AF116"/>
      <c r="AG116"/>
      <c r="CL116" s="68"/>
    </row>
    <row r="117" spans="6:90" ht="15" customHeight="1">
      <c r="AG117"/>
      <c r="CL117" s="68"/>
    </row>
    <row r="118" spans="6:90" ht="15" customHeight="1">
      <c r="AF118"/>
      <c r="AG118"/>
      <c r="CL118" s="68"/>
    </row>
    <row r="119" spans="6:90" ht="15" customHeight="1">
      <c r="O119" s="124"/>
      <c r="P119" s="124"/>
      <c r="AF119"/>
      <c r="AG119"/>
      <c r="CL119" s="68"/>
    </row>
    <row r="120" spans="6:90" ht="15" customHeight="1">
      <c r="O120" s="124"/>
      <c r="P120" s="124"/>
      <c r="CL120" s="68"/>
    </row>
    <row r="121" spans="6:90" ht="15" customHeight="1">
      <c r="O121" s="124"/>
      <c r="P121" s="124"/>
      <c r="CL121" s="68"/>
    </row>
    <row r="122" spans="6:90" ht="15" customHeight="1">
      <c r="O122" s="124"/>
      <c r="P122" s="124"/>
      <c r="CL122" s="68"/>
    </row>
    <row r="123" spans="6:90" ht="15" customHeight="1">
      <c r="O123" s="124"/>
      <c r="P123" s="124"/>
      <c r="CL123" s="68"/>
    </row>
    <row r="124" spans="6:90" ht="15" customHeight="1">
      <c r="O124" s="124"/>
      <c r="P124" s="124"/>
      <c r="CL124" s="68"/>
    </row>
    <row r="125" spans="6:90" ht="15" customHeight="1">
      <c r="CL125" s="68"/>
    </row>
    <row r="126" spans="6:90" ht="15" customHeight="1">
      <c r="CL126" s="68"/>
    </row>
    <row r="127" spans="6:90" ht="15" customHeight="1">
      <c r="F127" s="124"/>
      <c r="CL127" s="68"/>
    </row>
    <row r="128" spans="6:90" ht="15" customHeight="1">
      <c r="F128" s="124"/>
      <c r="CL128" s="68"/>
    </row>
    <row r="129" spans="90:90" ht="15" customHeight="1">
      <c r="CL129" s="68"/>
    </row>
    <row r="130" spans="90:90" ht="15" customHeight="1">
      <c r="CL130" s="68"/>
    </row>
    <row r="131" spans="90:90" ht="15" customHeight="1">
      <c r="CL131" s="68"/>
    </row>
    <row r="132" spans="90:90" ht="15" customHeight="1">
      <c r="CL132" s="68"/>
    </row>
    <row r="133" spans="90:90" ht="15" customHeight="1">
      <c r="CL133" s="68"/>
    </row>
    <row r="134" spans="90:90" ht="15" customHeight="1">
      <c r="CL134" s="68"/>
    </row>
    <row r="135" spans="90:90" ht="15" customHeight="1">
      <c r="CL135" s="68"/>
    </row>
    <row r="136" spans="90:90" ht="15" customHeight="1">
      <c r="CL136" s="68"/>
    </row>
    <row r="137" spans="90:90" ht="15" customHeight="1">
      <c r="CL137" s="68"/>
    </row>
    <row r="138" spans="90:90" ht="15" customHeight="1">
      <c r="CL138" s="68"/>
    </row>
    <row r="139" spans="90:90" ht="15" customHeight="1">
      <c r="CL139" s="68"/>
    </row>
    <row r="140" spans="90:90" ht="15" customHeight="1">
      <c r="CL140" s="68"/>
    </row>
    <row r="141" spans="90:90" ht="15" customHeight="1">
      <c r="CL141" s="68"/>
    </row>
    <row r="142" spans="90:90" ht="15" customHeight="1">
      <c r="CL142" s="68"/>
    </row>
    <row r="143" spans="90:90" ht="15" customHeight="1">
      <c r="CL143" s="68"/>
    </row>
    <row r="144" spans="90:90" ht="15" customHeight="1">
      <c r="CL144" s="68"/>
    </row>
    <row r="145" spans="90:90" ht="15" customHeight="1">
      <c r="CL145" s="68"/>
    </row>
    <row r="146" spans="90:90" ht="15" customHeight="1">
      <c r="CL146" s="68"/>
    </row>
    <row r="147" spans="90:90" ht="15" customHeight="1">
      <c r="CL147" s="68"/>
    </row>
    <row r="148" spans="90:90" ht="15" customHeight="1">
      <c r="CL148" s="68"/>
    </row>
  </sheetData>
  <mergeCells count="5">
    <mergeCell ref="BL2:BT2"/>
    <mergeCell ref="H2:AS2"/>
    <mergeCell ref="AT2:BK2"/>
    <mergeCell ref="B1:E1"/>
    <mergeCell ref="BU2:CY2"/>
  </mergeCells>
  <phoneticPr fontId="12" type="noConversion"/>
  <conditionalFormatting sqref="I210:I1048576 K210:K1048576 M210:M1048576 S210:AE1048576 AG210:AG1048576 AI210:AI1048576 AU210:AU1048576 AW210:AW1048576 BP210:BQ1048576">
    <cfRule type="expression" dxfId="199" priority="2151" stopIfTrue="1">
      <formula xml:space="preserve"> AND(I210&gt;TODAY(),I210-TODAY()&lt;=180)</formula>
    </cfRule>
  </conditionalFormatting>
  <conditionalFormatting sqref="I4:BM999">
    <cfRule type="expression" dxfId="198" priority="1" stopIfTrue="1">
      <formula>AND(ISODD(COLUMN(I4)), I4&lt;&gt;"", I4-TODAY() &lt;= 90)</formula>
    </cfRule>
    <cfRule type="expression" dxfId="197" priority="2">
      <formula>AND(ISODD(COLUMN(I4)), YEAR(I4)=YEAR(TODAY()), I4-TODAY()&gt;90, I4-TODAY()&lt;=365)</formula>
    </cfRule>
  </conditionalFormatting>
  <conditionalFormatting sqref="O210:O1048576 Q210:Q1048576 AO210:AS1048576 BE210:BK1048576">
    <cfRule type="expression" dxfId="196" priority="1024" stopIfTrue="1">
      <formula xml:space="preserve"> AND(O210&gt;TODAY(),O210-TODAY()&lt;=180)</formula>
    </cfRule>
  </conditionalFormatting>
  <conditionalFormatting sqref="O210:O1048576 Q210:Q1048576 AO210:AS1048576">
    <cfRule type="expression" dxfId="195" priority="1025" stopIfTrue="1">
      <formula>O210&lt;=TODAY()</formula>
    </cfRule>
  </conditionalFormatting>
  <conditionalFormatting sqref="BE210:BK1048576 I210:I1048576 K210:K1048576 M210:M1048576 S210:AE1048576 AG210:AG1048576 AI210:AI1048576 AU210:AU1048576 AW210:AW1048576 BP210:BQ1048576">
    <cfRule type="expression" dxfId="194" priority="1355" stopIfTrue="1">
      <formula>I210&lt;=TODAY()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0" orientation="landscape" r:id="rId1"/>
  <headerFooter>
    <oddHeader>&amp;L&amp;G&amp;C&amp;28Training Record Monitoring</oddHeader>
    <oddFooter>&amp;CSAMS-FM-CM-072-Training Record Monitoring-Rev.01-Date 05 AUG 2025&amp;R&amp;P&amp;N</oddFooter>
  </headerFooter>
  <colBreaks count="1" manualBreakCount="1">
    <brk id="98" max="71" man="1"/>
  </colBreaks>
  <legacyDrawing r:id="rId2"/>
  <legacyDrawingHF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50F1-814F-4D05-9C12-23680E5853BD}">
  <sheetPr>
    <tabColor rgb="FFFFC000"/>
    <pageSetUpPr fitToPage="1"/>
  </sheetPr>
  <dimension ref="A1:AE5"/>
  <sheetViews>
    <sheetView topLeftCell="B1" zoomScale="60" zoomScaleNormal="60" workbookViewId="0">
      <pane xSplit="5" ySplit="4" topLeftCell="R14" activePane="bottomRight" state="frozen"/>
      <selection pane="bottomRight" activeCell="R14" sqref="R14:R15"/>
      <selection pane="bottomLeft" activeCell="B5" sqref="B5"/>
      <selection pane="topRight" activeCell="F1" sqref="F1"/>
    </sheetView>
  </sheetViews>
  <sheetFormatPr defaultColWidth="9.125" defaultRowHeight="15" customHeight="1"/>
  <cols>
    <col min="1" max="1" width="5.75" customWidth="1"/>
    <col min="2" max="2" width="11" customWidth="1"/>
    <col min="3" max="3" width="13.125" customWidth="1"/>
    <col min="4" max="4" width="20.75" customWidth="1"/>
    <col min="5" max="5" width="28.125" customWidth="1"/>
    <col min="6" max="6" width="39.75" customWidth="1"/>
    <col min="7" max="10" width="11.75" customWidth="1"/>
    <col min="11" max="12" width="11.75" hidden="1" customWidth="1"/>
    <col min="13" max="22" width="11.75" customWidth="1"/>
    <col min="23" max="24" width="11.75" hidden="1" customWidth="1"/>
    <col min="25" max="26" width="11.75" customWidth="1"/>
    <col min="27" max="27" width="11.75" hidden="1" customWidth="1"/>
    <col min="28" max="28" width="11.75" customWidth="1"/>
    <col min="29" max="29" width="11.75" hidden="1" customWidth="1"/>
    <col min="30" max="30" width="11.75" customWidth="1"/>
    <col min="31" max="31" width="11.75" hidden="1" customWidth="1"/>
  </cols>
  <sheetData>
    <row r="1" spans="1:31" ht="27" customHeight="1">
      <c r="A1" s="537" t="s">
        <v>578</v>
      </c>
      <c r="B1" s="537"/>
      <c r="C1" s="53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77"/>
      <c r="Z1" s="77"/>
      <c r="AA1" s="77"/>
      <c r="AB1" s="77"/>
      <c r="AC1" s="77"/>
      <c r="AD1" s="77"/>
      <c r="AE1" s="77"/>
    </row>
    <row r="2" spans="1:31" ht="20.25" customHeight="1">
      <c r="A2" s="2" t="s">
        <v>119</v>
      </c>
      <c r="B2" s="2"/>
      <c r="C2" s="3">
        <f ca="1">TODAY()</f>
        <v>46091</v>
      </c>
      <c r="G2" s="555" t="s">
        <v>664</v>
      </c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45" t="s">
        <v>122</v>
      </c>
      <c r="Z2" s="546"/>
      <c r="AA2" s="546"/>
      <c r="AB2" s="546"/>
      <c r="AC2" s="546"/>
      <c r="AD2" s="546"/>
      <c r="AE2" s="546"/>
    </row>
    <row r="3" spans="1:31" ht="200.25" customHeight="1">
      <c r="A3" s="86"/>
      <c r="B3" s="79" t="s">
        <v>1</v>
      </c>
      <c r="C3" s="30" t="s">
        <v>124</v>
      </c>
      <c r="D3" s="28" t="s">
        <v>125</v>
      </c>
      <c r="E3" s="28" t="s">
        <v>126</v>
      </c>
      <c r="F3" s="21" t="s">
        <v>127</v>
      </c>
      <c r="G3" s="49" t="s">
        <v>129</v>
      </c>
      <c r="H3" s="49" t="s">
        <v>579</v>
      </c>
      <c r="I3" s="50" t="s">
        <v>15</v>
      </c>
      <c r="J3" s="50" t="s">
        <v>131</v>
      </c>
      <c r="K3" s="50" t="s">
        <v>580</v>
      </c>
      <c r="L3" s="50" t="s">
        <v>581</v>
      </c>
      <c r="M3" s="50" t="s">
        <v>47</v>
      </c>
      <c r="N3" s="50" t="s">
        <v>132</v>
      </c>
      <c r="O3" s="50" t="s">
        <v>583</v>
      </c>
      <c r="P3" s="50" t="s">
        <v>152</v>
      </c>
      <c r="Q3" s="50" t="s">
        <v>153</v>
      </c>
      <c r="R3" s="50" t="s">
        <v>154</v>
      </c>
      <c r="S3" s="50" t="s">
        <v>46</v>
      </c>
      <c r="T3" s="50" t="s">
        <v>155</v>
      </c>
      <c r="U3" s="74" t="s">
        <v>156</v>
      </c>
      <c r="V3" s="74" t="s">
        <v>157</v>
      </c>
      <c r="W3" s="75" t="s">
        <v>158</v>
      </c>
      <c r="X3" s="75" t="s">
        <v>159</v>
      </c>
      <c r="Y3" s="51" t="s">
        <v>587</v>
      </c>
      <c r="Z3" s="51" t="s">
        <v>187</v>
      </c>
      <c r="AA3" s="51" t="s">
        <v>594</v>
      </c>
      <c r="AB3" s="51" t="s">
        <v>188</v>
      </c>
      <c r="AC3" s="51" t="s">
        <v>595</v>
      </c>
      <c r="AD3" s="51" t="s">
        <v>189</v>
      </c>
      <c r="AE3" s="76" t="s">
        <v>596</v>
      </c>
    </row>
    <row r="4" spans="1:31" ht="30" customHeight="1">
      <c r="B4" s="88"/>
      <c r="C4" s="30"/>
      <c r="D4" s="79"/>
      <c r="E4" s="79"/>
      <c r="F4" s="28"/>
      <c r="G4" s="80" t="s">
        <v>224</v>
      </c>
      <c r="H4" s="81" t="s">
        <v>225</v>
      </c>
      <c r="I4" s="80" t="s">
        <v>224</v>
      </c>
      <c r="J4" s="81" t="s">
        <v>225</v>
      </c>
      <c r="K4" s="80" t="s">
        <v>224</v>
      </c>
      <c r="L4" s="81" t="s">
        <v>225</v>
      </c>
      <c r="M4" s="80" t="s">
        <v>224</v>
      </c>
      <c r="N4" s="81" t="s">
        <v>225</v>
      </c>
      <c r="O4" s="87" t="s">
        <v>224</v>
      </c>
      <c r="P4" s="81" t="s">
        <v>225</v>
      </c>
      <c r="Q4" s="80" t="s">
        <v>224</v>
      </c>
      <c r="R4" s="81" t="s">
        <v>225</v>
      </c>
      <c r="S4" s="80" t="s">
        <v>224</v>
      </c>
      <c r="T4" s="81" t="s">
        <v>225</v>
      </c>
      <c r="U4" s="85" t="s">
        <v>224</v>
      </c>
      <c r="V4" s="81" t="s">
        <v>225</v>
      </c>
      <c r="W4" s="85" t="s">
        <v>224</v>
      </c>
      <c r="X4" s="81" t="s">
        <v>225</v>
      </c>
      <c r="Y4" s="80" t="s">
        <v>224</v>
      </c>
      <c r="Z4" s="80" t="s">
        <v>224</v>
      </c>
      <c r="AA4" s="81" t="s">
        <v>225</v>
      </c>
      <c r="AB4" s="80" t="s">
        <v>224</v>
      </c>
      <c r="AC4" s="81" t="s">
        <v>225</v>
      </c>
      <c r="AD4" s="80" t="s">
        <v>224</v>
      </c>
      <c r="AE4" s="81" t="s">
        <v>225</v>
      </c>
    </row>
    <row r="5" spans="1:31" s="89" customFormat="1" ht="30" customHeight="1">
      <c r="A5" s="311"/>
      <c r="B5" s="313" t="s">
        <v>232</v>
      </c>
      <c r="C5" s="313" t="s">
        <v>232</v>
      </c>
      <c r="D5" s="313" t="s">
        <v>232</v>
      </c>
      <c r="E5" s="313" t="s">
        <v>232</v>
      </c>
      <c r="F5" s="313" t="s">
        <v>232</v>
      </c>
      <c r="G5" s="313" t="s">
        <v>232</v>
      </c>
      <c r="H5" s="313" t="s">
        <v>232</v>
      </c>
      <c r="I5" s="313" t="s">
        <v>232</v>
      </c>
      <c r="J5" s="313" t="s">
        <v>232</v>
      </c>
      <c r="K5" s="313" t="s">
        <v>232</v>
      </c>
      <c r="L5" s="313" t="s">
        <v>232</v>
      </c>
      <c r="M5" s="313" t="s">
        <v>232</v>
      </c>
      <c r="N5" s="313" t="s">
        <v>232</v>
      </c>
      <c r="O5" s="313" t="s">
        <v>232</v>
      </c>
      <c r="P5" s="313" t="s">
        <v>232</v>
      </c>
      <c r="Q5" s="313" t="s">
        <v>232</v>
      </c>
      <c r="R5" s="313" t="s">
        <v>232</v>
      </c>
      <c r="S5" s="313" t="s">
        <v>232</v>
      </c>
      <c r="T5" s="313" t="s">
        <v>232</v>
      </c>
      <c r="U5" s="313" t="s">
        <v>232</v>
      </c>
      <c r="V5" s="313" t="s">
        <v>232</v>
      </c>
      <c r="W5" s="313" t="s">
        <v>232</v>
      </c>
      <c r="X5" s="313" t="s">
        <v>232</v>
      </c>
      <c r="Y5" s="313" t="s">
        <v>232</v>
      </c>
      <c r="Z5" s="313" t="s">
        <v>232</v>
      </c>
      <c r="AA5" s="313" t="s">
        <v>232</v>
      </c>
      <c r="AB5" s="313" t="s">
        <v>232</v>
      </c>
      <c r="AC5" s="313" t="s">
        <v>232</v>
      </c>
      <c r="AD5" s="313" t="s">
        <v>232</v>
      </c>
      <c r="AE5" s="312"/>
    </row>
  </sheetData>
  <mergeCells count="3">
    <mergeCell ref="A1:X1"/>
    <mergeCell ref="G2:X2"/>
    <mergeCell ref="Y2:AE2"/>
  </mergeCells>
  <phoneticPr fontId="12" type="noConversion"/>
  <conditionalFormatting sqref="L4 AA4 AC4 X55:X1048576 AE6:AE1048576 H55:H1048576 J55:J1048576 L55:L1048576 N55:N1048576 P55:P1048576 R55:R1048576 AA55:AA1048576 AC55:AC1048576">
    <cfRule type="expression" dxfId="93" priority="173" stopIfTrue="1">
      <formula>H4&lt;=TODAY()</formula>
    </cfRule>
  </conditionalFormatting>
  <conditionalFormatting sqref="L4 AA4 AC4 X55:X1048576">
    <cfRule type="expression" dxfId="92" priority="172" stopIfTrue="1">
      <formula xml:space="preserve"> AND(L4&gt;TODAY(),L4-TODAY()&lt;=180)</formula>
    </cfRule>
  </conditionalFormatting>
  <conditionalFormatting sqref="N4">
    <cfRule type="expression" dxfId="91" priority="13" stopIfTrue="1">
      <formula xml:space="preserve"> AND(N4&gt;TODAY(),N4-TODAY()&lt;=180)</formula>
    </cfRule>
    <cfRule type="expression" dxfId="90" priority="14" stopIfTrue="1">
      <formula>N4&lt;=TODAY()</formula>
    </cfRule>
  </conditionalFormatting>
  <conditionalFormatting sqref="P4">
    <cfRule type="expression" dxfId="89" priority="7" stopIfTrue="1">
      <formula xml:space="preserve"> AND(P4&gt;TODAY(),P4-TODAY()&lt;=180)</formula>
    </cfRule>
    <cfRule type="expression" dxfId="88" priority="8" stopIfTrue="1">
      <formula>P4&lt;=TODAY()</formula>
    </cfRule>
  </conditionalFormatting>
  <conditionalFormatting sqref="R3:R4">
    <cfRule type="expression" dxfId="87" priority="220" stopIfTrue="1">
      <formula xml:space="preserve"> AND(R3&gt;TODAY(),R3-TODAY()&lt;=180)</formula>
    </cfRule>
    <cfRule type="expression" dxfId="86" priority="221" stopIfTrue="1">
      <formula>R3&lt;=TODAY()</formula>
    </cfRule>
  </conditionalFormatting>
  <conditionalFormatting sqref="R4">
    <cfRule type="expression" dxfId="85" priority="5" stopIfTrue="1">
      <formula xml:space="preserve"> AND(R4&gt;TODAY(),R4-TODAY()&lt;=180)</formula>
    </cfRule>
    <cfRule type="expression" dxfId="84" priority="6" stopIfTrue="1">
      <formula>R4&lt;=TODAY()</formula>
    </cfRule>
  </conditionalFormatting>
  <conditionalFormatting sqref="T4">
    <cfRule type="expression" dxfId="83" priority="4" stopIfTrue="1">
      <formula>T4&lt;=TODAY()</formula>
    </cfRule>
    <cfRule type="expression" dxfId="82" priority="168" stopIfTrue="1">
      <formula xml:space="preserve"> AND(T4&gt;TODAY(),T4-TODAY()&lt;=180)</formula>
    </cfRule>
  </conditionalFormatting>
  <conditionalFormatting sqref="V4">
    <cfRule type="expression" dxfId="81" priority="1" stopIfTrue="1">
      <formula xml:space="preserve"> AND(V4&gt;TODAY(),V4-TODAY()&lt;=180)</formula>
    </cfRule>
    <cfRule type="expression" dxfId="80" priority="2" stopIfTrue="1">
      <formula>V4&lt;=TODAY()</formula>
    </cfRule>
  </conditionalFormatting>
  <conditionalFormatting sqref="X4">
    <cfRule type="expression" dxfId="79" priority="165" stopIfTrue="1">
      <formula xml:space="preserve"> AND(X4&gt;TODAY(),X4-TODAY()&lt;=180)</formula>
    </cfRule>
    <cfRule type="expression" dxfId="78" priority="166" stopIfTrue="1">
      <formula>X4&lt;=TODAY()</formula>
    </cfRule>
  </conditionalFormatting>
  <conditionalFormatting sqref="AE4:AE5">
    <cfRule type="expression" dxfId="77" priority="138" stopIfTrue="1">
      <formula xml:space="preserve"> AND(AE4&gt;TODAY(),AE4-TODAY()&lt;=180)</formula>
    </cfRule>
    <cfRule type="expression" dxfId="76" priority="139" stopIfTrue="1">
      <formula>AE4&lt;=TODAY()</formula>
    </cfRule>
  </conditionalFormatting>
  <conditionalFormatting sqref="AE6:AE1048576 H55:H1048576 J55:J1048576 L55:L1048576 N55:N1048576 P55:P1048576 R55:R1048576 AA55:AA1048576 AC55:AC1048576">
    <cfRule type="expression" dxfId="75" priority="125" stopIfTrue="1">
      <formula xml:space="preserve"> AND(H6&gt;TODAY(),H6-TODAY()&lt;=180)</formula>
    </cfRule>
  </conditionalFormatting>
  <pageMargins left="0.25" right="0.25" top="0.75" bottom="0.75" header="0.3" footer="0.3"/>
  <pageSetup paperSize="9" scale="43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DE5B-660C-49C3-84BE-670589DF46C5}">
  <sheetPr>
    <tabColor rgb="FFFFFF00"/>
    <pageSetUpPr fitToPage="1"/>
  </sheetPr>
  <dimension ref="A1:AA27"/>
  <sheetViews>
    <sheetView topLeftCell="B1" zoomScale="70" zoomScaleNormal="70" workbookViewId="0">
      <pane xSplit="5" ySplit="4" topLeftCell="G5" activePane="bottomRight" state="frozen"/>
      <selection pane="bottomRight" activeCell="C21" sqref="C21"/>
      <selection pane="bottomLeft" activeCell="B5" sqref="B5"/>
      <selection pane="topRight" activeCell="F1" sqref="F1"/>
    </sheetView>
  </sheetViews>
  <sheetFormatPr defaultColWidth="9.125" defaultRowHeight="15" customHeight="1"/>
  <cols>
    <col min="1" max="1" width="5.75" customWidth="1"/>
    <col min="2" max="2" width="11" customWidth="1"/>
    <col min="3" max="3" width="13.125" customWidth="1"/>
    <col min="4" max="4" width="20.75" customWidth="1"/>
    <col min="5" max="5" width="28.125" customWidth="1"/>
    <col min="6" max="6" width="27.875" customWidth="1"/>
    <col min="7" max="10" width="11.75" customWidth="1"/>
    <col min="11" max="12" width="11.75" hidden="1" customWidth="1"/>
    <col min="13" max="26" width="11.75" customWidth="1"/>
    <col min="27" max="27" width="11.75" hidden="1" customWidth="1"/>
  </cols>
  <sheetData>
    <row r="1" spans="1:27" ht="27" customHeight="1">
      <c r="A1" s="537" t="s">
        <v>578</v>
      </c>
      <c r="B1" s="537"/>
      <c r="C1" s="53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77"/>
    </row>
    <row r="2" spans="1:27" ht="20.25" customHeight="1">
      <c r="A2" s="2" t="s">
        <v>119</v>
      </c>
      <c r="B2" s="2"/>
      <c r="C2" s="3">
        <f ca="1">TODAY()</f>
        <v>46091</v>
      </c>
      <c r="G2" s="555" t="s">
        <v>664</v>
      </c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93"/>
    </row>
    <row r="3" spans="1:27" ht="200.25" customHeight="1">
      <c r="A3" s="86"/>
      <c r="B3" s="79" t="s">
        <v>1</v>
      </c>
      <c r="C3" s="30" t="s">
        <v>124</v>
      </c>
      <c r="D3" s="28" t="s">
        <v>125</v>
      </c>
      <c r="E3" s="28" t="s">
        <v>126</v>
      </c>
      <c r="F3" s="21" t="s">
        <v>127</v>
      </c>
      <c r="G3" s="49" t="s">
        <v>129</v>
      </c>
      <c r="H3" s="49" t="s">
        <v>579</v>
      </c>
      <c r="I3" s="50" t="s">
        <v>15</v>
      </c>
      <c r="J3" s="50" t="s">
        <v>131</v>
      </c>
      <c r="K3" s="50" t="s">
        <v>580</v>
      </c>
      <c r="L3" s="50" t="s">
        <v>581</v>
      </c>
      <c r="M3" s="50" t="s">
        <v>47</v>
      </c>
      <c r="N3" s="50" t="s">
        <v>132</v>
      </c>
      <c r="O3" s="50" t="s">
        <v>133</v>
      </c>
      <c r="P3" s="50" t="s">
        <v>134</v>
      </c>
      <c r="Q3" s="50" t="s">
        <v>583</v>
      </c>
      <c r="R3" s="50" t="s">
        <v>152</v>
      </c>
      <c r="S3" s="50" t="s">
        <v>153</v>
      </c>
      <c r="T3" s="50" t="s">
        <v>154</v>
      </c>
      <c r="U3" s="50" t="s">
        <v>46</v>
      </c>
      <c r="V3" s="50" t="s">
        <v>155</v>
      </c>
      <c r="W3" s="74" t="s">
        <v>156</v>
      </c>
      <c r="X3" s="74" t="s">
        <v>157</v>
      </c>
      <c r="Y3" s="75" t="s">
        <v>158</v>
      </c>
      <c r="Z3" s="75" t="s">
        <v>159</v>
      </c>
      <c r="AA3" s="76" t="s">
        <v>596</v>
      </c>
    </row>
    <row r="4" spans="1:27" ht="30" customHeight="1">
      <c r="B4" s="88"/>
      <c r="C4" s="30"/>
      <c r="D4" s="79"/>
      <c r="E4" s="79"/>
      <c r="F4" s="28"/>
      <c r="G4" s="80" t="s">
        <v>224</v>
      </c>
      <c r="H4" s="81" t="s">
        <v>225</v>
      </c>
      <c r="I4" s="80" t="s">
        <v>224</v>
      </c>
      <c r="J4" s="81" t="s">
        <v>225</v>
      </c>
      <c r="K4" s="80" t="s">
        <v>224</v>
      </c>
      <c r="L4" s="81" t="s">
        <v>225</v>
      </c>
      <c r="M4" s="80" t="s">
        <v>224</v>
      </c>
      <c r="N4" s="81" t="s">
        <v>225</v>
      </c>
      <c r="O4" s="80" t="s">
        <v>224</v>
      </c>
      <c r="P4" s="81" t="s">
        <v>225</v>
      </c>
      <c r="Q4" s="87" t="s">
        <v>224</v>
      </c>
      <c r="R4" s="81" t="s">
        <v>225</v>
      </c>
      <c r="S4" s="80" t="s">
        <v>224</v>
      </c>
      <c r="T4" s="81" t="s">
        <v>225</v>
      </c>
      <c r="U4" s="80" t="s">
        <v>224</v>
      </c>
      <c r="V4" s="81" t="s">
        <v>225</v>
      </c>
      <c r="W4" s="85" t="s">
        <v>224</v>
      </c>
      <c r="X4" s="81" t="s">
        <v>225</v>
      </c>
      <c r="Y4" s="85" t="s">
        <v>224</v>
      </c>
      <c r="Z4" s="81" t="s">
        <v>225</v>
      </c>
      <c r="AA4" s="81" t="s">
        <v>225</v>
      </c>
    </row>
    <row r="5" spans="1:27" ht="30" customHeight="1">
      <c r="A5" s="94"/>
      <c r="B5" s="100" t="s">
        <v>670</v>
      </c>
      <c r="C5" s="110" t="s">
        <v>804</v>
      </c>
      <c r="D5" s="35" t="s">
        <v>805</v>
      </c>
      <c r="E5" s="35" t="s">
        <v>806</v>
      </c>
      <c r="F5" s="9" t="s">
        <v>253</v>
      </c>
      <c r="G5" s="116">
        <v>45609</v>
      </c>
      <c r="H5" s="38">
        <f t="shared" ref="H5:H9" si="0">IF(ISBLANK(G5),"",EDATE(G5,24))</f>
        <v>46339</v>
      </c>
      <c r="I5" s="116">
        <v>45569</v>
      </c>
      <c r="J5" s="97">
        <f t="shared" ref="J5:J9" si="1">IF(ISBLANK(I5),"",EDATE(I5,24))</f>
        <v>46299</v>
      </c>
      <c r="K5" s="96"/>
      <c r="L5" s="97" t="str">
        <f t="shared" ref="L5:L9" si="2">IF(ISBLANK(K5),"",EDATE(K5,24))</f>
        <v/>
      </c>
      <c r="M5" s="116">
        <v>45777</v>
      </c>
      <c r="N5" s="251">
        <f t="shared" ref="N5:N9" si="3">IF(ISBLANK(M5),"",EDATE(M5,24))</f>
        <v>46507</v>
      </c>
      <c r="O5" s="116">
        <v>45233</v>
      </c>
      <c r="P5" s="97">
        <f t="shared" ref="P5:P9" si="4">IF(ISBLANK(O5),"",EDATE(O5,24))</f>
        <v>45964</v>
      </c>
      <c r="Q5" s="112">
        <v>45580</v>
      </c>
      <c r="R5" s="97">
        <f t="shared" ref="R5:R9" si="5">IF(ISBLANK(Q5),"",EDATE(Q5,24))</f>
        <v>46310</v>
      </c>
      <c r="S5" s="117">
        <v>45485</v>
      </c>
      <c r="T5" s="97">
        <f t="shared" ref="T5:T9" si="6">IF(ISBLANK(S5),"",EDATE(S5,24))</f>
        <v>46215</v>
      </c>
      <c r="U5" s="117">
        <v>45492</v>
      </c>
      <c r="V5" s="97">
        <f t="shared" ref="V5:V9" si="7">IF(ISBLANK(U5),"",EDATE(U5,24))</f>
        <v>46222</v>
      </c>
      <c r="W5" s="117">
        <v>45377</v>
      </c>
      <c r="X5" s="97">
        <f t="shared" ref="X5:X9" si="8">IF(ISBLANK(W5),"",EDATE(W5,24))</f>
        <v>46107</v>
      </c>
      <c r="Y5" s="10" t="s">
        <v>232</v>
      </c>
      <c r="Z5" s="10" t="s">
        <v>232</v>
      </c>
      <c r="AA5" s="39"/>
    </row>
    <row r="6" spans="1:27" ht="30" customHeight="1">
      <c r="A6" s="94"/>
      <c r="B6" s="100" t="s">
        <v>675</v>
      </c>
      <c r="C6" s="110" t="s">
        <v>807</v>
      </c>
      <c r="D6" s="35" t="s">
        <v>808</v>
      </c>
      <c r="E6" s="35" t="s">
        <v>809</v>
      </c>
      <c r="F6" s="9" t="s">
        <v>253</v>
      </c>
      <c r="G6" s="116">
        <v>45609</v>
      </c>
      <c r="H6" s="38">
        <f t="shared" si="0"/>
        <v>46339</v>
      </c>
      <c r="I6" s="116">
        <v>45569</v>
      </c>
      <c r="J6" s="97">
        <f t="shared" si="1"/>
        <v>46299</v>
      </c>
      <c r="K6" s="96"/>
      <c r="L6" s="97" t="str">
        <f t="shared" si="2"/>
        <v/>
      </c>
      <c r="M6" s="116">
        <v>45729</v>
      </c>
      <c r="N6" s="251">
        <f t="shared" si="3"/>
        <v>46459</v>
      </c>
      <c r="O6" s="116">
        <v>45233</v>
      </c>
      <c r="P6" s="97">
        <f t="shared" si="4"/>
        <v>45964</v>
      </c>
      <c r="Q6" s="112">
        <v>45580</v>
      </c>
      <c r="R6" s="97">
        <f t="shared" si="5"/>
        <v>46310</v>
      </c>
      <c r="S6" s="117">
        <v>45369</v>
      </c>
      <c r="T6" s="97">
        <f t="shared" si="6"/>
        <v>46099</v>
      </c>
      <c r="U6" s="117">
        <v>45272</v>
      </c>
      <c r="V6" s="97">
        <f t="shared" si="7"/>
        <v>46003</v>
      </c>
      <c r="W6" s="117">
        <v>45377</v>
      </c>
      <c r="X6" s="97">
        <f t="shared" si="8"/>
        <v>46107</v>
      </c>
      <c r="Y6" s="10" t="s">
        <v>232</v>
      </c>
      <c r="Z6" s="10" t="s">
        <v>232</v>
      </c>
      <c r="AA6" s="39"/>
    </row>
    <row r="7" spans="1:27" ht="30" customHeight="1">
      <c r="A7" s="94"/>
      <c r="B7" s="100" t="s">
        <v>677</v>
      </c>
      <c r="C7" s="34" t="s">
        <v>810</v>
      </c>
      <c r="D7" s="35" t="s">
        <v>811</v>
      </c>
      <c r="E7" s="35" t="s">
        <v>812</v>
      </c>
      <c r="F7" s="9" t="s">
        <v>253</v>
      </c>
      <c r="G7" s="116">
        <v>45422</v>
      </c>
      <c r="H7" s="38">
        <f t="shared" si="0"/>
        <v>46152</v>
      </c>
      <c r="I7" s="116">
        <v>45120</v>
      </c>
      <c r="J7" s="97">
        <f t="shared" si="1"/>
        <v>45851</v>
      </c>
      <c r="K7" s="96"/>
      <c r="L7" s="97" t="str">
        <f t="shared" si="2"/>
        <v/>
      </c>
      <c r="M7" s="116">
        <v>45593</v>
      </c>
      <c r="N7" s="97">
        <f t="shared" si="3"/>
        <v>46323</v>
      </c>
      <c r="O7" s="116">
        <v>45573</v>
      </c>
      <c r="P7" s="97">
        <f t="shared" si="4"/>
        <v>46303</v>
      </c>
      <c r="Q7" s="112">
        <v>45580</v>
      </c>
      <c r="R7" s="97">
        <f t="shared" si="5"/>
        <v>46310</v>
      </c>
      <c r="S7" s="117">
        <v>45357</v>
      </c>
      <c r="T7" s="97">
        <f t="shared" si="6"/>
        <v>46087</v>
      </c>
      <c r="U7" s="117">
        <v>45399</v>
      </c>
      <c r="V7" s="97">
        <f t="shared" si="7"/>
        <v>46129</v>
      </c>
      <c r="W7" s="117">
        <v>45376</v>
      </c>
      <c r="X7" s="97">
        <f t="shared" si="8"/>
        <v>46106</v>
      </c>
      <c r="Y7" s="10" t="s">
        <v>232</v>
      </c>
      <c r="Z7" s="10" t="s">
        <v>232</v>
      </c>
      <c r="AA7" s="39"/>
    </row>
    <row r="8" spans="1:27" ht="30" customHeight="1">
      <c r="A8" s="94"/>
      <c r="B8" s="100" t="s">
        <v>678</v>
      </c>
      <c r="C8" s="34" t="s">
        <v>813</v>
      </c>
      <c r="D8" s="35" t="s">
        <v>814</v>
      </c>
      <c r="E8" s="35" t="s">
        <v>815</v>
      </c>
      <c r="F8" s="9" t="s">
        <v>253</v>
      </c>
      <c r="G8" s="116">
        <v>45421</v>
      </c>
      <c r="H8" s="38">
        <f t="shared" si="0"/>
        <v>46151</v>
      </c>
      <c r="I8" s="96">
        <v>45565</v>
      </c>
      <c r="J8" s="97">
        <f t="shared" si="1"/>
        <v>46295</v>
      </c>
      <c r="K8" s="96"/>
      <c r="L8" s="97" t="str">
        <f t="shared" si="2"/>
        <v/>
      </c>
      <c r="M8" s="96">
        <v>45532</v>
      </c>
      <c r="N8" s="97">
        <f t="shared" si="3"/>
        <v>46262</v>
      </c>
      <c r="O8" s="96">
        <v>44826</v>
      </c>
      <c r="P8" s="97">
        <f t="shared" si="4"/>
        <v>45557</v>
      </c>
      <c r="Q8" s="73">
        <v>45257</v>
      </c>
      <c r="R8" s="97">
        <f t="shared" si="5"/>
        <v>45988</v>
      </c>
      <c r="S8" s="97">
        <v>45177</v>
      </c>
      <c r="T8" s="97">
        <f t="shared" si="6"/>
        <v>45908</v>
      </c>
      <c r="U8" s="97">
        <v>45219</v>
      </c>
      <c r="V8" s="97">
        <f t="shared" si="7"/>
        <v>45950</v>
      </c>
      <c r="W8" s="97">
        <v>45377</v>
      </c>
      <c r="X8" s="97">
        <f t="shared" si="8"/>
        <v>46107</v>
      </c>
      <c r="Y8" s="10" t="s">
        <v>232</v>
      </c>
      <c r="Z8" s="10" t="s">
        <v>232</v>
      </c>
      <c r="AA8" s="39"/>
    </row>
    <row r="9" spans="1:27" ht="30" customHeight="1">
      <c r="A9" s="94"/>
      <c r="B9" s="100" t="s">
        <v>679</v>
      </c>
      <c r="C9" s="34" t="s">
        <v>816</v>
      </c>
      <c r="D9" s="35" t="s">
        <v>817</v>
      </c>
      <c r="E9" s="35" t="s">
        <v>818</v>
      </c>
      <c r="F9" s="36" t="s">
        <v>253</v>
      </c>
      <c r="G9" s="96">
        <v>44855</v>
      </c>
      <c r="H9" s="38">
        <f t="shared" si="0"/>
        <v>45586</v>
      </c>
      <c r="I9" s="96">
        <v>45118</v>
      </c>
      <c r="J9" s="97">
        <f t="shared" si="1"/>
        <v>45849</v>
      </c>
      <c r="K9" s="96"/>
      <c r="L9" s="97" t="str">
        <f t="shared" si="2"/>
        <v/>
      </c>
      <c r="M9" s="96">
        <v>44841</v>
      </c>
      <c r="N9" s="97">
        <f t="shared" si="3"/>
        <v>45572</v>
      </c>
      <c r="O9" s="96">
        <v>45573</v>
      </c>
      <c r="P9" s="97">
        <f t="shared" si="4"/>
        <v>46303</v>
      </c>
      <c r="Q9" s="99">
        <v>45257</v>
      </c>
      <c r="R9" s="97">
        <f t="shared" si="5"/>
        <v>45988</v>
      </c>
      <c r="S9" s="97">
        <v>45329</v>
      </c>
      <c r="T9" s="97">
        <f t="shared" si="6"/>
        <v>46060</v>
      </c>
      <c r="U9" s="97">
        <v>45219</v>
      </c>
      <c r="V9" s="97">
        <f t="shared" si="7"/>
        <v>45950</v>
      </c>
      <c r="W9" s="97">
        <v>45379</v>
      </c>
      <c r="X9" s="97">
        <f t="shared" si="8"/>
        <v>46109</v>
      </c>
      <c r="Y9" s="38" t="s">
        <v>232</v>
      </c>
      <c r="Z9" s="38" t="s">
        <v>232</v>
      </c>
      <c r="AA9" s="39"/>
    </row>
    <row r="10" spans="1:27" ht="30" customHeight="1">
      <c r="B10" s="100" t="s">
        <v>680</v>
      </c>
      <c r="C10" s="33" t="s">
        <v>819</v>
      </c>
      <c r="D10" s="7" t="s">
        <v>820</v>
      </c>
      <c r="E10" s="7" t="s">
        <v>821</v>
      </c>
      <c r="F10" s="9" t="s">
        <v>253</v>
      </c>
      <c r="G10" s="120">
        <v>45422</v>
      </c>
      <c r="H10" s="10">
        <f t="shared" ref="H10:H15" si="9">IF(ISBLANK(G10),"",EDATE(G10,24))</f>
        <v>46152</v>
      </c>
      <c r="I10" s="120">
        <v>45565</v>
      </c>
      <c r="J10" s="10">
        <f t="shared" ref="J10:J15" si="10">IF(ISBLANK(I10),"",EDATE(I10,24))</f>
        <v>46295</v>
      </c>
      <c r="K10" s="12"/>
      <c r="L10" s="10" t="str">
        <f>IF(ISBLANK(K10),"",EDATE(K10,24))</f>
        <v/>
      </c>
      <c r="M10" s="120">
        <v>45593</v>
      </c>
      <c r="N10" s="10">
        <f t="shared" ref="N10:N15" si="11">IF(ISBLANK(M10),"",EDATE(M10,24))</f>
        <v>46323</v>
      </c>
      <c r="O10" s="120">
        <v>45573</v>
      </c>
      <c r="P10" s="90">
        <f t="shared" ref="P10:P15" si="12">IF(ISBLANK(O10),"",EDATE(O10,24))</f>
        <v>46303</v>
      </c>
      <c r="Q10" s="257">
        <v>45580</v>
      </c>
      <c r="R10" s="10">
        <f t="shared" ref="R10:R15" si="13">IF(ISBLANK(Q10),"",EDATE(Q10,24))</f>
        <v>46310</v>
      </c>
      <c r="S10" s="268">
        <v>45177</v>
      </c>
      <c r="T10" s="10">
        <f t="shared" ref="T10:T15" si="14">IF(ISBLANK(S10),"",EDATE(S10,24))</f>
        <v>45908</v>
      </c>
      <c r="U10" s="268">
        <v>45219</v>
      </c>
      <c r="V10" s="10">
        <f t="shared" ref="V10:V15" si="15">IF(ISBLANK(U10),"",EDATE(U10,24))</f>
        <v>45950</v>
      </c>
      <c r="W10" s="268">
        <v>45378</v>
      </c>
      <c r="X10" s="10">
        <f t="shared" ref="X10:X15" si="16">IF(ISBLANK(W10),"",EDATE(W10,24))</f>
        <v>46108</v>
      </c>
      <c r="Y10" s="10" t="s">
        <v>232</v>
      </c>
      <c r="Z10" s="10" t="s">
        <v>232</v>
      </c>
      <c r="AA10" s="10"/>
    </row>
    <row r="11" spans="1:27" ht="30" customHeight="1">
      <c r="B11" s="111" t="s">
        <v>681</v>
      </c>
      <c r="C11" s="252" t="s">
        <v>822</v>
      </c>
      <c r="D11" s="253" t="s">
        <v>823</v>
      </c>
      <c r="E11" s="253" t="s">
        <v>824</v>
      </c>
      <c r="F11" s="103" t="s">
        <v>253</v>
      </c>
      <c r="G11" s="120">
        <v>45343</v>
      </c>
      <c r="H11" s="107">
        <f t="shared" si="9"/>
        <v>46074</v>
      </c>
      <c r="I11" s="120">
        <v>45565</v>
      </c>
      <c r="J11" s="107">
        <f t="shared" si="10"/>
        <v>46295</v>
      </c>
      <c r="K11" s="254"/>
      <c r="L11" s="107" t="str">
        <f>IF(ISBLANK(K11),"",EDATE(K11,24))</f>
        <v/>
      </c>
      <c r="M11" s="120">
        <v>45335</v>
      </c>
      <c r="N11" s="107">
        <f t="shared" si="11"/>
        <v>46066</v>
      </c>
      <c r="O11" s="116">
        <v>45378</v>
      </c>
      <c r="P11" s="108">
        <f t="shared" si="12"/>
        <v>46108</v>
      </c>
      <c r="Q11" s="257">
        <v>45580</v>
      </c>
      <c r="R11" s="107">
        <f t="shared" si="13"/>
        <v>46310</v>
      </c>
      <c r="S11" s="115">
        <v>45387</v>
      </c>
      <c r="T11" s="107">
        <f t="shared" si="14"/>
        <v>46117</v>
      </c>
      <c r="U11" s="115">
        <v>45373</v>
      </c>
      <c r="V11" s="105">
        <f t="shared" si="15"/>
        <v>46103</v>
      </c>
      <c r="W11" s="118">
        <v>45378</v>
      </c>
      <c r="X11" s="105">
        <f t="shared" si="16"/>
        <v>46108</v>
      </c>
      <c r="Y11" s="107" t="s">
        <v>232</v>
      </c>
      <c r="Z11" s="107" t="s">
        <v>232</v>
      </c>
      <c r="AA11" s="10"/>
    </row>
    <row r="12" spans="1:27" ht="30" customHeight="1">
      <c r="B12" s="111" t="s">
        <v>682</v>
      </c>
      <c r="C12" s="33" t="s">
        <v>813</v>
      </c>
      <c r="D12" s="7" t="s">
        <v>825</v>
      </c>
      <c r="E12" s="7" t="s">
        <v>826</v>
      </c>
      <c r="F12" s="9" t="s">
        <v>253</v>
      </c>
      <c r="G12" s="120">
        <v>45421</v>
      </c>
      <c r="H12" s="209">
        <f t="shared" si="9"/>
        <v>46151</v>
      </c>
      <c r="I12" s="120">
        <v>45565</v>
      </c>
      <c r="J12" s="10">
        <f t="shared" si="10"/>
        <v>46295</v>
      </c>
      <c r="K12" s="12"/>
      <c r="L12" s="10" t="str">
        <f t="shared" ref="L12:L13" si="17">IF(ISBLANK(K12),"",EDATE(K12,24))</f>
        <v/>
      </c>
      <c r="M12" s="120">
        <v>45532</v>
      </c>
      <c r="N12" s="10">
        <f t="shared" si="11"/>
        <v>46262</v>
      </c>
      <c r="O12" s="116">
        <v>45429</v>
      </c>
      <c r="P12" s="97">
        <f t="shared" si="12"/>
        <v>46159</v>
      </c>
      <c r="Q12" s="257">
        <v>45580</v>
      </c>
      <c r="R12" s="209">
        <f t="shared" si="13"/>
        <v>46310</v>
      </c>
      <c r="S12" s="115">
        <v>45424</v>
      </c>
      <c r="T12" s="10">
        <f t="shared" si="14"/>
        <v>46154</v>
      </c>
      <c r="U12" s="115">
        <v>45492</v>
      </c>
      <c r="V12" s="38">
        <f t="shared" si="15"/>
        <v>46222</v>
      </c>
      <c r="W12" s="118">
        <v>45418</v>
      </c>
      <c r="X12" s="38">
        <f t="shared" si="16"/>
        <v>46148</v>
      </c>
      <c r="Y12" s="38" t="s">
        <v>232</v>
      </c>
      <c r="Z12" s="10" t="s">
        <v>232</v>
      </c>
      <c r="AA12" s="10"/>
    </row>
    <row r="13" spans="1:27" ht="30" customHeight="1">
      <c r="B13" s="100" t="s">
        <v>683</v>
      </c>
      <c r="C13" s="252" t="s">
        <v>827</v>
      </c>
      <c r="D13" s="253" t="s">
        <v>828</v>
      </c>
      <c r="E13" s="253" t="s">
        <v>829</v>
      </c>
      <c r="F13" s="103" t="s">
        <v>253</v>
      </c>
      <c r="G13" s="120">
        <v>45348</v>
      </c>
      <c r="H13" s="107">
        <f t="shared" si="9"/>
        <v>46079</v>
      </c>
      <c r="I13" s="120">
        <v>45555</v>
      </c>
      <c r="J13" s="107">
        <f t="shared" si="10"/>
        <v>46285</v>
      </c>
      <c r="K13" s="254"/>
      <c r="L13" s="107" t="str">
        <f t="shared" si="17"/>
        <v/>
      </c>
      <c r="M13" s="120">
        <v>45749</v>
      </c>
      <c r="N13" s="107">
        <f t="shared" si="11"/>
        <v>46479</v>
      </c>
      <c r="O13" s="255">
        <v>45573</v>
      </c>
      <c r="P13" s="256">
        <f t="shared" si="12"/>
        <v>46303</v>
      </c>
      <c r="Q13" s="257">
        <v>45580</v>
      </c>
      <c r="R13" s="107">
        <f t="shared" si="13"/>
        <v>46310</v>
      </c>
      <c r="S13" s="115">
        <v>45313</v>
      </c>
      <c r="T13" s="107">
        <f t="shared" si="14"/>
        <v>46044</v>
      </c>
      <c r="U13" s="115">
        <v>45386</v>
      </c>
      <c r="V13" s="258">
        <f t="shared" si="15"/>
        <v>46116</v>
      </c>
      <c r="W13" s="259">
        <v>45383</v>
      </c>
      <c r="X13" s="258">
        <f t="shared" si="16"/>
        <v>46113</v>
      </c>
      <c r="Y13" s="258"/>
      <c r="Z13" s="107">
        <f>IF(ISBLANK(U13),"",EDATE(U13,24))</f>
        <v>46116</v>
      </c>
      <c r="AA13" s="10"/>
    </row>
    <row r="14" spans="1:27" ht="30" customHeight="1">
      <c r="B14" s="262" t="s">
        <v>684</v>
      </c>
      <c r="C14" s="252" t="s">
        <v>830</v>
      </c>
      <c r="D14" s="7" t="s">
        <v>831</v>
      </c>
      <c r="E14" s="7" t="s">
        <v>832</v>
      </c>
      <c r="F14" s="9" t="s">
        <v>253</v>
      </c>
      <c r="G14" s="120">
        <v>45596</v>
      </c>
      <c r="H14" s="10">
        <f t="shared" si="9"/>
        <v>46326</v>
      </c>
      <c r="I14" s="120">
        <v>45555</v>
      </c>
      <c r="J14" s="10">
        <f t="shared" si="10"/>
        <v>46285</v>
      </c>
      <c r="K14" s="12"/>
      <c r="L14" s="10" t="str">
        <f>IF(ISBLANK(K14),"",EDATE(K14,24))</f>
        <v/>
      </c>
      <c r="M14" s="120">
        <v>45651</v>
      </c>
      <c r="N14" s="10">
        <f t="shared" si="11"/>
        <v>46381</v>
      </c>
      <c r="O14" s="116">
        <v>45233</v>
      </c>
      <c r="P14" s="97">
        <f t="shared" si="12"/>
        <v>45964</v>
      </c>
      <c r="Q14" s="257">
        <v>45580</v>
      </c>
      <c r="R14" s="10">
        <f t="shared" si="13"/>
        <v>46310</v>
      </c>
      <c r="S14" s="115">
        <v>45330</v>
      </c>
      <c r="T14" s="10">
        <f t="shared" si="14"/>
        <v>46061</v>
      </c>
      <c r="U14" s="115">
        <v>45351</v>
      </c>
      <c r="V14" s="38">
        <f t="shared" si="15"/>
        <v>46081</v>
      </c>
      <c r="W14" s="118">
        <v>45377</v>
      </c>
      <c r="X14" s="38">
        <f t="shared" si="16"/>
        <v>46107</v>
      </c>
      <c r="Y14" s="38" t="s">
        <v>232</v>
      </c>
      <c r="Z14" s="10" t="s">
        <v>232</v>
      </c>
      <c r="AA14" s="10"/>
    </row>
    <row r="15" spans="1:27" ht="30" customHeight="1">
      <c r="B15" s="262" t="s">
        <v>685</v>
      </c>
      <c r="C15" s="34" t="s">
        <v>833</v>
      </c>
      <c r="D15" s="35" t="s">
        <v>834</v>
      </c>
      <c r="E15" s="35" t="s">
        <v>835</v>
      </c>
      <c r="F15" s="36" t="s">
        <v>253</v>
      </c>
      <c r="G15" s="116">
        <v>45783</v>
      </c>
      <c r="H15" s="38">
        <f t="shared" si="9"/>
        <v>46513</v>
      </c>
      <c r="I15" s="116">
        <v>45569</v>
      </c>
      <c r="J15" s="38">
        <f t="shared" si="10"/>
        <v>46299</v>
      </c>
      <c r="K15" s="37"/>
      <c r="L15" s="38" t="str">
        <f>IF(ISBLANK(K15),"",EDATE(K15,24))</f>
        <v/>
      </c>
      <c r="M15" s="116">
        <v>45603</v>
      </c>
      <c r="N15" s="38">
        <f t="shared" si="11"/>
        <v>46333</v>
      </c>
      <c r="O15" s="116">
        <v>45573</v>
      </c>
      <c r="P15" s="97">
        <f t="shared" si="12"/>
        <v>46303</v>
      </c>
      <c r="Q15" s="260">
        <v>45580</v>
      </c>
      <c r="R15" s="38">
        <f t="shared" si="13"/>
        <v>46310</v>
      </c>
      <c r="S15" s="118">
        <v>45369</v>
      </c>
      <c r="T15" s="38">
        <f t="shared" si="14"/>
        <v>46099</v>
      </c>
      <c r="U15" s="118">
        <v>45243</v>
      </c>
      <c r="V15" s="38">
        <f t="shared" si="15"/>
        <v>45974</v>
      </c>
      <c r="W15" s="118">
        <v>45379</v>
      </c>
      <c r="X15" s="38">
        <f t="shared" si="16"/>
        <v>46109</v>
      </c>
      <c r="Y15" s="38" t="s">
        <v>232</v>
      </c>
      <c r="Z15" s="38" t="s">
        <v>232</v>
      </c>
      <c r="AA15" s="38"/>
    </row>
    <row r="16" spans="1:27" ht="30" customHeight="1">
      <c r="B16" s="100" t="s">
        <v>686</v>
      </c>
      <c r="C16" s="263" t="s">
        <v>836</v>
      </c>
      <c r="D16" s="52" t="s">
        <v>837</v>
      </c>
      <c r="E16" s="52" t="s">
        <v>838</v>
      </c>
      <c r="F16" s="9" t="s">
        <v>253</v>
      </c>
      <c r="G16" s="265">
        <v>45863</v>
      </c>
      <c r="H16" s="1">
        <v>46593</v>
      </c>
      <c r="I16" s="265">
        <v>45547</v>
      </c>
      <c r="J16" s="1">
        <v>46277</v>
      </c>
      <c r="K16" s="264"/>
      <c r="L16" s="1"/>
      <c r="M16" s="265">
        <v>45593</v>
      </c>
      <c r="N16" s="1">
        <v>46323</v>
      </c>
      <c r="O16" s="265">
        <v>45573</v>
      </c>
      <c r="P16" s="91">
        <v>46303</v>
      </c>
      <c r="Q16" s="266">
        <v>45580</v>
      </c>
      <c r="R16" s="10">
        <f>IF(ISBLANK(Q16),"",EDATE(Q16,24))</f>
        <v>46310</v>
      </c>
      <c r="S16" s="267">
        <v>45177</v>
      </c>
      <c r="T16" s="1">
        <v>45908</v>
      </c>
      <c r="U16" s="267">
        <v>45219</v>
      </c>
      <c r="V16" s="1">
        <v>45950</v>
      </c>
      <c r="W16" s="267">
        <v>45383</v>
      </c>
      <c r="X16" s="1">
        <v>46113</v>
      </c>
      <c r="Y16" s="1" t="s">
        <v>232</v>
      </c>
      <c r="Z16" s="1" t="s">
        <v>232</v>
      </c>
      <c r="AA16" s="240"/>
    </row>
    <row r="17" spans="2:27" ht="30" customHeight="1">
      <c r="B17" s="261" t="s">
        <v>687</v>
      </c>
      <c r="C17" s="263" t="s">
        <v>839</v>
      </c>
      <c r="D17" s="52" t="s">
        <v>840</v>
      </c>
      <c r="E17" s="52" t="s">
        <v>841</v>
      </c>
      <c r="F17" s="207" t="s">
        <v>253</v>
      </c>
      <c r="G17" s="265">
        <v>45391</v>
      </c>
      <c r="H17" s="1">
        <v>46121</v>
      </c>
      <c r="I17" s="265">
        <v>45555</v>
      </c>
      <c r="J17" s="1">
        <v>46285</v>
      </c>
      <c r="K17" s="264"/>
      <c r="L17" s="1"/>
      <c r="M17" s="265">
        <v>45749</v>
      </c>
      <c r="N17" s="1">
        <v>46479</v>
      </c>
      <c r="O17" s="265">
        <v>45573</v>
      </c>
      <c r="P17" s="91">
        <v>46303</v>
      </c>
      <c r="Q17" s="266">
        <v>45580</v>
      </c>
      <c r="R17" s="1">
        <v>46310</v>
      </c>
      <c r="S17" s="267">
        <v>45369</v>
      </c>
      <c r="T17" s="1">
        <v>46099</v>
      </c>
      <c r="U17" s="267">
        <v>45386</v>
      </c>
      <c r="V17" s="1">
        <v>46116</v>
      </c>
      <c r="W17" s="267">
        <v>45378</v>
      </c>
      <c r="X17" s="1">
        <v>46108</v>
      </c>
      <c r="Y17" s="1" t="s">
        <v>232</v>
      </c>
      <c r="Z17" s="1" t="s">
        <v>232</v>
      </c>
      <c r="AA17" s="240"/>
    </row>
    <row r="20" spans="2:27" ht="15" customHeight="1">
      <c r="B20" s="241" t="s">
        <v>842</v>
      </c>
    </row>
    <row r="22" spans="2:27" ht="15" customHeight="1">
      <c r="B22" s="242" t="s">
        <v>843</v>
      </c>
      <c r="C22" s="95" t="s">
        <v>844</v>
      </c>
      <c r="D22" s="7" t="s">
        <v>845</v>
      </c>
      <c r="E22" s="7" t="s">
        <v>846</v>
      </c>
      <c r="F22" s="9" t="s">
        <v>253</v>
      </c>
      <c r="G22" s="114">
        <v>45299</v>
      </c>
      <c r="H22" s="38">
        <f t="shared" ref="H22:H26" si="18">IF(ISBLANK(G22),"",EDATE(G22,24))</f>
        <v>46030</v>
      </c>
      <c r="I22" s="113">
        <v>45120</v>
      </c>
      <c r="J22" s="38">
        <f t="shared" ref="J22:J26" si="19">IF(ISBLANK(I22),"",EDATE(I22,24))</f>
        <v>45851</v>
      </c>
      <c r="K22" s="12"/>
      <c r="L22" s="10"/>
      <c r="M22" s="112">
        <v>45065</v>
      </c>
      <c r="N22" s="97">
        <f t="shared" ref="N22:N26" si="20">IF(ISBLANK(M22),"",EDATE(M22,24))</f>
        <v>45796</v>
      </c>
      <c r="O22" s="112">
        <v>45039</v>
      </c>
      <c r="P22" s="97">
        <f t="shared" ref="P22:P26" si="21">IF(ISBLANK(O22),"",EDATE(O22,24))</f>
        <v>45770</v>
      </c>
      <c r="Q22" s="112">
        <v>45257</v>
      </c>
      <c r="R22" s="97">
        <f t="shared" ref="R22:R26" si="22">IF(ISBLANK(Q22),"",EDATE(Q22,24))</f>
        <v>45988</v>
      </c>
      <c r="S22" s="115">
        <v>45369</v>
      </c>
      <c r="T22" s="97">
        <f t="shared" ref="T22:T26" si="23">IF(ISBLANK(S22),"",EDATE(S22,24))</f>
        <v>46099</v>
      </c>
      <c r="U22" s="115">
        <v>45272</v>
      </c>
      <c r="V22" s="97">
        <f t="shared" ref="V22:V26" si="24">IF(ISBLANK(U22),"",EDATE(U22,24))</f>
        <v>46003</v>
      </c>
      <c r="W22" s="115">
        <v>45086</v>
      </c>
      <c r="X22" s="97">
        <f t="shared" ref="X22:X26" si="25">IF(ISBLANK(W22),"",EDATE(W22,24))</f>
        <v>45817</v>
      </c>
      <c r="Y22" s="10" t="s">
        <v>232</v>
      </c>
      <c r="Z22" s="10" t="s">
        <v>232</v>
      </c>
    </row>
    <row r="23" spans="2:27" ht="15" customHeight="1">
      <c r="B23" s="242" t="s">
        <v>843</v>
      </c>
      <c r="C23" s="127" t="s">
        <v>847</v>
      </c>
      <c r="D23" s="35" t="s">
        <v>848</v>
      </c>
      <c r="E23" s="35" t="s">
        <v>849</v>
      </c>
      <c r="F23" s="9" t="s">
        <v>253</v>
      </c>
      <c r="G23" s="116">
        <v>45609</v>
      </c>
      <c r="H23" s="38">
        <f t="shared" si="18"/>
        <v>46339</v>
      </c>
      <c r="I23" s="116">
        <v>45103</v>
      </c>
      <c r="J23" s="97">
        <f t="shared" si="19"/>
        <v>45834</v>
      </c>
      <c r="K23" s="96"/>
      <c r="L23" s="97" t="str">
        <f t="shared" ref="L23:L26" si="26">IF(ISBLANK(K23),"",EDATE(K23,24))</f>
        <v/>
      </c>
      <c r="M23" s="116">
        <v>45107</v>
      </c>
      <c r="N23" s="97">
        <f t="shared" si="20"/>
        <v>45838</v>
      </c>
      <c r="O23" s="116">
        <v>45233</v>
      </c>
      <c r="P23" s="97">
        <f t="shared" si="21"/>
        <v>45964</v>
      </c>
      <c r="Q23" s="112">
        <v>45257</v>
      </c>
      <c r="R23" s="97">
        <f t="shared" si="22"/>
        <v>45988</v>
      </c>
      <c r="S23" s="117">
        <v>45330</v>
      </c>
      <c r="T23" s="97">
        <f t="shared" si="23"/>
        <v>46061</v>
      </c>
      <c r="U23" s="117">
        <v>45243</v>
      </c>
      <c r="V23" s="97">
        <f t="shared" si="24"/>
        <v>45974</v>
      </c>
      <c r="W23" s="117">
        <v>45086</v>
      </c>
      <c r="X23" s="97">
        <f t="shared" si="25"/>
        <v>45817</v>
      </c>
      <c r="Y23" s="10" t="s">
        <v>232</v>
      </c>
      <c r="Z23" s="10" t="s">
        <v>232</v>
      </c>
    </row>
    <row r="24" spans="2:27" ht="15" customHeight="1">
      <c r="B24" s="242" t="s">
        <v>843</v>
      </c>
      <c r="C24" s="8" t="s">
        <v>850</v>
      </c>
      <c r="D24" s="7" t="s">
        <v>851</v>
      </c>
      <c r="E24" s="7" t="s">
        <v>852</v>
      </c>
      <c r="F24" s="9" t="s">
        <v>253</v>
      </c>
      <c r="G24" s="120">
        <v>45065</v>
      </c>
      <c r="H24" s="10">
        <f>IF(ISBLANK(G24),"",EDATE(G24,24))</f>
        <v>45796</v>
      </c>
      <c r="I24" s="120">
        <v>45565</v>
      </c>
      <c r="J24" s="90">
        <f>IF(ISBLANK(I24),"",EDATE(I24,24))</f>
        <v>46295</v>
      </c>
      <c r="K24" s="98"/>
      <c r="L24" s="90" t="str">
        <f>IF(ISBLANK(K24),"",EDATE(K24,24))</f>
        <v/>
      </c>
      <c r="M24" s="120">
        <v>45068</v>
      </c>
      <c r="N24" s="90">
        <f>IF(ISBLANK(M24),"",EDATE(M24,24))</f>
        <v>45799</v>
      </c>
      <c r="O24" s="120">
        <v>45573</v>
      </c>
      <c r="P24" s="90">
        <f>IF(ISBLANK(O24),"",EDATE(O24,24))</f>
        <v>46303</v>
      </c>
      <c r="Q24" s="112">
        <v>45580</v>
      </c>
      <c r="R24" s="109">
        <f>IF(ISBLANK(Q24),"",EDATE(Q24,24))</f>
        <v>46310</v>
      </c>
      <c r="S24" s="119">
        <v>45313</v>
      </c>
      <c r="T24" s="90">
        <f>IF(ISBLANK(S24),"",EDATE(S24,24))</f>
        <v>46044</v>
      </c>
      <c r="U24" s="119">
        <v>45243</v>
      </c>
      <c r="V24" s="90">
        <f>IF(ISBLANK(U24),"",EDATE(U24,24))</f>
        <v>45974</v>
      </c>
      <c r="W24" s="119">
        <v>45378</v>
      </c>
      <c r="X24" s="90">
        <f>IF(ISBLANK(W24),"",EDATE(W24,24))</f>
        <v>46108</v>
      </c>
      <c r="Y24" s="10" t="s">
        <v>232</v>
      </c>
      <c r="Z24" s="10" t="s">
        <v>232</v>
      </c>
    </row>
    <row r="25" spans="2:27" ht="15" customHeight="1">
      <c r="B25" s="242" t="s">
        <v>843</v>
      </c>
      <c r="C25" s="101" t="s">
        <v>853</v>
      </c>
      <c r="D25" s="102" t="s">
        <v>854</v>
      </c>
      <c r="E25" s="102" t="s">
        <v>855</v>
      </c>
      <c r="F25" s="103" t="s">
        <v>253</v>
      </c>
      <c r="G25" s="116">
        <v>45348</v>
      </c>
      <c r="H25" s="105">
        <f>IF(ISBLANK(G25),"",EDATE(G25,24))</f>
        <v>46079</v>
      </c>
      <c r="I25" s="116">
        <v>45548</v>
      </c>
      <c r="J25" s="106">
        <f>IF(ISBLANK(I25),"",EDATE(I25,24))</f>
        <v>46278</v>
      </c>
      <c r="K25" s="104"/>
      <c r="L25" s="106" t="str">
        <f>IF(ISBLANK(K25),"",EDATE(K25,24))</f>
        <v/>
      </c>
      <c r="M25" s="116">
        <v>45002</v>
      </c>
      <c r="N25" s="106">
        <f>IF(ISBLANK(M25),"",EDATE(M25,24))</f>
        <v>45733</v>
      </c>
      <c r="O25" s="116">
        <v>45573</v>
      </c>
      <c r="P25" s="106">
        <f>IF(ISBLANK(O25),"",EDATE(O25,24))</f>
        <v>46303</v>
      </c>
      <c r="Q25" s="112">
        <v>45580</v>
      </c>
      <c r="R25" s="107">
        <f>IF(ISBLANK(Q25),"",EDATE(Q25,24))</f>
        <v>46310</v>
      </c>
      <c r="S25" s="117">
        <v>45369</v>
      </c>
      <c r="T25" s="106">
        <f>IF(ISBLANK(S25),"",EDATE(S25,24))</f>
        <v>46099</v>
      </c>
      <c r="U25" s="117">
        <v>45386</v>
      </c>
      <c r="V25" s="106">
        <f>IF(ISBLANK(U25),"",EDATE(U25,24))</f>
        <v>46116</v>
      </c>
      <c r="W25" s="117">
        <v>45378</v>
      </c>
      <c r="X25" s="106">
        <f>IF(ISBLANK(W25),"",EDATE(W25,24))</f>
        <v>46108</v>
      </c>
      <c r="Y25" s="107" t="s">
        <v>232</v>
      </c>
      <c r="Z25" s="107" t="s">
        <v>232</v>
      </c>
    </row>
    <row r="26" spans="2:27" ht="15" customHeight="1">
      <c r="B26" s="242" t="s">
        <v>843</v>
      </c>
      <c r="C26" s="101" t="s">
        <v>856</v>
      </c>
      <c r="D26" s="102" t="s">
        <v>857</v>
      </c>
      <c r="E26" s="102" t="s">
        <v>858</v>
      </c>
      <c r="F26" s="103" t="s">
        <v>253</v>
      </c>
      <c r="G26" s="116">
        <v>45348</v>
      </c>
      <c r="H26" s="105">
        <f t="shared" si="18"/>
        <v>46079</v>
      </c>
      <c r="I26" s="116">
        <v>45555</v>
      </c>
      <c r="J26" s="106">
        <f t="shared" si="19"/>
        <v>46285</v>
      </c>
      <c r="K26" s="104"/>
      <c r="L26" s="106" t="str">
        <f t="shared" si="26"/>
        <v/>
      </c>
      <c r="M26" s="116">
        <v>45603</v>
      </c>
      <c r="N26" s="106">
        <f t="shared" si="20"/>
        <v>46333</v>
      </c>
      <c r="O26" s="116">
        <v>45573</v>
      </c>
      <c r="P26" s="106">
        <f t="shared" si="21"/>
        <v>46303</v>
      </c>
      <c r="Q26" s="112">
        <v>45580</v>
      </c>
      <c r="R26" s="108">
        <f t="shared" si="22"/>
        <v>46310</v>
      </c>
      <c r="S26" s="117">
        <v>45313</v>
      </c>
      <c r="T26" s="106">
        <f t="shared" si="23"/>
        <v>46044</v>
      </c>
      <c r="U26" s="117">
        <v>45243</v>
      </c>
      <c r="V26" s="106">
        <f t="shared" si="24"/>
        <v>45974</v>
      </c>
      <c r="W26" s="117">
        <v>45379</v>
      </c>
      <c r="X26" s="106">
        <f t="shared" si="25"/>
        <v>46109</v>
      </c>
      <c r="Y26" s="107" t="s">
        <v>232</v>
      </c>
      <c r="Z26" s="107" t="s">
        <v>232</v>
      </c>
    </row>
    <row r="27" spans="2:27" ht="15" customHeight="1">
      <c r="B27" s="242" t="s">
        <v>843</v>
      </c>
      <c r="C27" s="243" t="s">
        <v>859</v>
      </c>
      <c r="D27" s="244" t="s">
        <v>860</v>
      </c>
      <c r="E27" s="244" t="s">
        <v>861</v>
      </c>
      <c r="F27" s="245" t="s">
        <v>253</v>
      </c>
      <c r="G27" s="246">
        <v>44801</v>
      </c>
      <c r="H27" s="247">
        <f>IF(ISBLANK(G27),"",EDATE(G27,24))</f>
        <v>45532</v>
      </c>
      <c r="I27" s="246">
        <v>45096</v>
      </c>
      <c r="J27" s="248">
        <f>IF(ISBLANK(I27),"",EDATE(I27,24))</f>
        <v>45827</v>
      </c>
      <c r="K27" s="246"/>
      <c r="L27" s="248" t="str">
        <f>IF(ISBLANK(K27),"",EDATE(K27,24))</f>
        <v/>
      </c>
      <c r="M27" s="246">
        <v>44789</v>
      </c>
      <c r="N27" s="248">
        <f>IF(ISBLANK(M27),"",EDATE(M27,24))</f>
        <v>45520</v>
      </c>
      <c r="O27" s="246">
        <v>44826</v>
      </c>
      <c r="P27" s="248">
        <f>IF(ISBLANK(O27),"",EDATE(O27,24))</f>
        <v>45557</v>
      </c>
      <c r="Q27" s="249">
        <v>45257</v>
      </c>
      <c r="R27" s="248">
        <f>IF(ISBLANK(Q27),"",EDATE(Q27,24))</f>
        <v>45988</v>
      </c>
      <c r="S27" s="248">
        <v>45254</v>
      </c>
      <c r="T27" s="248">
        <f>IF(ISBLANK(S27),"",EDATE(S27,24))</f>
        <v>45985</v>
      </c>
      <c r="U27" s="248">
        <v>45373</v>
      </c>
      <c r="V27" s="248">
        <f>IF(ISBLANK(U27),"",EDATE(U27,24))</f>
        <v>46103</v>
      </c>
      <c r="W27" s="248">
        <v>45379</v>
      </c>
      <c r="X27" s="248">
        <f>IF(ISBLANK(W27),"",EDATE(W27,24))</f>
        <v>46109</v>
      </c>
      <c r="Y27" s="250" t="s">
        <v>232</v>
      </c>
      <c r="Z27" s="250" t="s">
        <v>232</v>
      </c>
    </row>
  </sheetData>
  <mergeCells count="2">
    <mergeCell ref="A1:Z1"/>
    <mergeCell ref="G2:Z2"/>
  </mergeCells>
  <conditionalFormatting sqref="H14 J14 N14 P14 R14 T14 X14">
    <cfRule type="expression" dxfId="42" priority="21" stopIfTrue="1">
      <formula xml:space="preserve"> AND(H14&gt;TODAY(),H14-TODAY()&lt;=180)</formula>
    </cfRule>
    <cfRule type="expression" dxfId="41" priority="22" stopIfTrue="1">
      <formula>H14&lt;=TODAY()</formula>
    </cfRule>
  </conditionalFormatting>
  <conditionalFormatting sqref="H22:H27 J22:J27 L22:L27 N22:N27 P22:P27 R22:R27 T22:T27 V22:V27 X22:X27">
    <cfRule type="expression" dxfId="40" priority="1" stopIfTrue="1">
      <formula xml:space="preserve"> AND(H22&gt;TODAY(),H22-TODAY()&lt;=180)</formula>
    </cfRule>
    <cfRule type="expression" dxfId="39" priority="2" stopIfTrue="1">
      <formula>H22&lt;=TODAY()</formula>
    </cfRule>
  </conditionalFormatting>
  <conditionalFormatting sqref="L4:L17 N4:N17 P4:P17 V4:V17 H5:H17 J5:J17 AA10:AA1048576 H57:H1048576 J57:J1048576 L57:L1048576 N57:P1048576 R57:R1048576 T57:T1048576">
    <cfRule type="expression" dxfId="38" priority="53" stopIfTrue="1">
      <formula xml:space="preserve"> AND(H4&gt;TODAY(),H4-TODAY()&lt;=180)</formula>
    </cfRule>
  </conditionalFormatting>
  <conditionalFormatting sqref="L14 V14">
    <cfRule type="expression" dxfId="37" priority="23" stopIfTrue="1">
      <formula xml:space="preserve"> AND(L14&gt;TODAY(),L14-TODAY()&lt;=180)</formula>
    </cfRule>
    <cfRule type="expression" dxfId="36" priority="24" stopIfTrue="1">
      <formula>L14&lt;=TODAY()</formula>
    </cfRule>
  </conditionalFormatting>
  <conditionalFormatting sqref="R4:R17 T4:T17 X4:X17 AA4:AA17 V10:V17 L4:L17 N4:N17 P4:P17 H5:H17 J5:J17">
    <cfRule type="expression" dxfId="35" priority="48" stopIfTrue="1">
      <formula>H4&lt;=TODAY()</formula>
    </cfRule>
  </conditionalFormatting>
  <conditionalFormatting sqref="T3:T4">
    <cfRule type="expression" dxfId="34" priority="58" stopIfTrue="1">
      <formula xml:space="preserve"> AND(T3&gt;TODAY(),T3-TODAY()&lt;=180)</formula>
    </cfRule>
    <cfRule type="expression" dxfId="33" priority="59" stopIfTrue="1">
      <formula>T3&lt;=TODAY()</formula>
    </cfRule>
  </conditionalFormatting>
  <conditionalFormatting sqref="V10:V17 R4:R17 T4:T17 X4:X17 AA4:AA17">
    <cfRule type="expression" dxfId="32" priority="47" stopIfTrue="1">
      <formula xml:space="preserve"> AND(R4&gt;TODAY(),R4-TODAY()&lt;=180)</formula>
    </cfRule>
  </conditionalFormatting>
  <conditionalFormatting sqref="Z4">
    <cfRule type="expression" dxfId="31" priority="54" stopIfTrue="1">
      <formula xml:space="preserve"> AND(Z4&gt;TODAY(),Z4-TODAY()&lt;=180)</formula>
    </cfRule>
    <cfRule type="expression" dxfId="30" priority="55" stopIfTrue="1">
      <formula>Z4&lt;=TODAY()</formula>
    </cfRule>
  </conditionalFormatting>
  <conditionalFormatting sqref="Z57:Z1048576 V4:V17 AA10:AA1048576 H57:H1048576 J57:J1048576 L57:L1048576 N57:P1048576 R57:R1048576 T57:T1048576">
    <cfRule type="expression" dxfId="29" priority="57" stopIfTrue="1">
      <formula>H4&lt;=TODAY()</formula>
    </cfRule>
  </conditionalFormatting>
  <conditionalFormatting sqref="Z57:Z1048576">
    <cfRule type="expression" dxfId="28" priority="56" stopIfTrue="1">
      <formula xml:space="preserve"> AND(Z57&gt;TODAY(),Z57-TODAY()&lt;=180)</formula>
    </cfRule>
  </conditionalFormatting>
  <pageMargins left="0.25" right="0.25" top="0.75" bottom="0.75" header="0.3" footer="0.3"/>
  <pageSetup paperSize="9" scale="4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675207CEECF489D01972746F86F17" ma:contentTypeVersion="16" ma:contentTypeDescription="Create a new document." ma:contentTypeScope="" ma:versionID="bd4b4fb29a506c64031520ea8503d529">
  <xsd:schema xmlns:xsd="http://www.w3.org/2001/XMLSchema" xmlns:xs="http://www.w3.org/2001/XMLSchema" xmlns:p="http://schemas.microsoft.com/office/2006/metadata/properties" xmlns:ns2="160bc22c-f89e-47cf-8716-1b284bde7c7c" xmlns:ns3="aaae5383-abd2-4179-b133-a4babca77d54" targetNamespace="http://schemas.microsoft.com/office/2006/metadata/properties" ma:root="true" ma:fieldsID="3d7c850d77c4267f5ec647f1fc9ffca7" ns2:_="" ns3:_="">
    <xsd:import namespace="160bc22c-f89e-47cf-8716-1b284bde7c7c"/>
    <xsd:import namespace="aaae5383-abd2-4179-b133-a4babca77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bc22c-f89e-47cf-8716-1b284bde7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e5dbc1-2eee-4aa1-bd1f-0c8e6a9328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e5383-abd2-4179-b133-a4babca77d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91f270-82ae-4402-895d-9b6d909705fc}" ma:internalName="TaxCatchAll" ma:showField="CatchAllData" ma:web="aaae5383-abd2-4179-b133-a4babca77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bc22c-f89e-47cf-8716-1b284bde7c7c">
      <Terms xmlns="http://schemas.microsoft.com/office/infopath/2007/PartnerControls"/>
    </lcf76f155ced4ddcb4097134ff3c332f>
    <TaxCatchAll xmlns="aaae5383-abd2-4179-b133-a4babca77d54" xsi:nil="true"/>
    <SharedWithUsers xmlns="aaae5383-abd2-4179-b133-a4babca77d54">
      <UserInfo>
        <DisplayName>Nunchanok Hantaku</DisplayName>
        <AccountId>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C16F45-5653-41A0-9107-0FC5F5A0B692}"/>
</file>

<file path=customXml/itemProps2.xml><?xml version="1.0" encoding="utf-8"?>
<ds:datastoreItem xmlns:ds="http://schemas.openxmlformats.org/officeDocument/2006/customXml" ds:itemID="{9C836474-0425-4EDB-A838-FE9FA5B819E5}"/>
</file>

<file path=customXml/itemProps3.xml><?xml version="1.0" encoding="utf-8"?>
<ds:datastoreItem xmlns:ds="http://schemas.openxmlformats.org/officeDocument/2006/customXml" ds:itemID="{04E417A9-8C32-40DD-9ECF-55BB06A75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govit</dc:creator>
  <cp:keywords/>
  <dc:description/>
  <cp:lastModifiedBy/>
  <cp:revision/>
  <dcterms:created xsi:type="dcterms:W3CDTF">2022-11-23T09:03:31Z</dcterms:created>
  <dcterms:modified xsi:type="dcterms:W3CDTF">2026-03-10T09:44:34Z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0x010100818675207CEECF489D01972746F86F17</vt:lpwstr>
  </property>
  <property fmtid="{D5CDD505-2E9C-101B-9397-08002B2CF9AE}" pid="3" name="MediaServiceImageTags">
    <vt:lpwstr/>
  </property>
</Properties>
</file>